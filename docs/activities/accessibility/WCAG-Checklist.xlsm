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cpsgovuk-my.sharepoint.com/personal/louise_cranston_cps_gov_uk/Documents/"/>
    </mc:Choice>
  </mc:AlternateContent>
  <xr:revisionPtr revIDLastSave="0" documentId="8_{AF0F8982-F707-4692-8AE9-D8CBFCF2E3A1}" xr6:coauthVersionLast="47" xr6:coauthVersionMax="47" xr10:uidLastSave="{00000000-0000-0000-0000-000000000000}"/>
  <bookViews>
    <workbookView xWindow="-103" yWindow="-103" windowWidth="19543" windowHeight="12497" xr2:uid="{7FCBD089-7D29-4400-9F96-74063D052233}"/>
  </bookViews>
  <sheets>
    <sheet name="A WCAG Checklist Cover" sheetId="1" r:id="rId1"/>
    <sheet name="B WCAG Criteria 1" sheetId="2" r:id="rId2"/>
    <sheet name="C WCAG Criteria 2" sheetId="4" r:id="rId3"/>
    <sheet name="D WCAG Criteria 3" sheetId="5" r:id="rId4"/>
    <sheet name="E WCAG Criteria 4" sheetId="6"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2" l="1"/>
  <c r="B5" i="4"/>
  <c r="C5" i="6" l="1"/>
  <c r="E20" i="1" s="1"/>
  <c r="D5" i="6"/>
  <c r="F20" i="1" s="1"/>
  <c r="E5" i="6"/>
  <c r="G20" i="1" s="1"/>
  <c r="B5" i="6"/>
  <c r="D20" i="1" s="1"/>
  <c r="B19" i="5"/>
  <c r="E19" i="5"/>
  <c r="D19" i="5"/>
  <c r="C19" i="5"/>
  <c r="C11" i="5"/>
  <c r="D11" i="5"/>
  <c r="E11" i="5"/>
  <c r="B11" i="5"/>
  <c r="C5" i="5"/>
  <c r="D5" i="5"/>
  <c r="E5" i="5"/>
  <c r="B5" i="5"/>
  <c r="E20" i="4"/>
  <c r="D20" i="4"/>
  <c r="B20" i="4"/>
  <c r="C20" i="4"/>
  <c r="C38" i="4"/>
  <c r="D38" i="4"/>
  <c r="E38" i="4"/>
  <c r="B38" i="4"/>
  <c r="C25" i="4"/>
  <c r="D25" i="4"/>
  <c r="E25" i="4"/>
  <c r="B25" i="4"/>
  <c r="C13" i="4"/>
  <c r="D13" i="4"/>
  <c r="E13" i="4"/>
  <c r="B13" i="4"/>
  <c r="C5" i="4"/>
  <c r="D5" i="4"/>
  <c r="E5" i="4"/>
  <c r="C45" i="2"/>
  <c r="D45" i="2"/>
  <c r="E45" i="2"/>
  <c r="B45" i="2"/>
  <c r="C31" i="2"/>
  <c r="D31" i="2"/>
  <c r="E31" i="2"/>
  <c r="B31" i="2"/>
  <c r="C16" i="2"/>
  <c r="D16" i="2"/>
  <c r="E16" i="2"/>
  <c r="B16" i="2"/>
  <c r="C5" i="2"/>
  <c r="D5" i="2"/>
  <c r="E5" i="2"/>
  <c r="F19" i="1" l="1"/>
  <c r="E19" i="1"/>
  <c r="E18" i="1"/>
  <c r="F18" i="1"/>
  <c r="G18" i="1"/>
  <c r="D19" i="1"/>
  <c r="G19" i="1"/>
  <c r="D18" i="1"/>
  <c r="G17" i="1"/>
  <c r="D17" i="1"/>
  <c r="E17" i="1"/>
  <c r="F17" i="1"/>
</calcChain>
</file>

<file path=xl/sharedStrings.xml><?xml version="1.0" encoding="utf-8"?>
<sst xmlns="http://schemas.openxmlformats.org/spreadsheetml/2006/main" count="325" uniqueCount="202">
  <si>
    <t>WCAG 2.1 AA Compliance Checklist</t>
  </si>
  <si>
    <t>All websites, web applications and digital products must achieve WCAG 2.1 AA standards in order to meet CPS Policy, Governmental accessibility and Legislative requirements.</t>
  </si>
  <si>
    <t>Full details of these standards can be found here.</t>
  </si>
  <si>
    <t>Outcome - tick ONE (CPS ITA TEAM ONLY)</t>
  </si>
  <si>
    <t>WCAG 2.1 AA Standard COMPLETELY MET</t>
  </si>
  <si>
    <t>WCAG 2.1 AA Standard MET WITH ISSUES</t>
  </si>
  <si>
    <t xml:space="preserve">WCAG 2.1 AA Standard NOT MET </t>
  </si>
  <si>
    <t>Project/ Change information</t>
  </si>
  <si>
    <t>Name of person completing the checklist</t>
  </si>
  <si>
    <t>Organisation/ Team</t>
  </si>
  <si>
    <t>Date of checklist completion</t>
  </si>
  <si>
    <t>Name of website/web application/product</t>
  </si>
  <si>
    <t>Automated Overview</t>
  </si>
  <si>
    <t>CM</t>
  </si>
  <si>
    <t>MWI</t>
  </si>
  <si>
    <t>NM</t>
  </si>
  <si>
    <t>NA</t>
  </si>
  <si>
    <t>WCAG Criteria 1</t>
  </si>
  <si>
    <t>WCAG Criteria 2</t>
  </si>
  <si>
    <t>WCAG Criteria 3</t>
  </si>
  <si>
    <t>WCAG Criteria 4</t>
  </si>
  <si>
    <t>Sources of Assurance</t>
  </si>
  <si>
    <t>Please detail methods used to gauge WCAG 2.1 AA Compliance</t>
  </si>
  <si>
    <t>Criteria 1 - Perceivable</t>
  </si>
  <si>
    <t>Web content is made available to the senses - sight, hearing, and/or touch</t>
  </si>
  <si>
    <t>Guideline 1.1
Text Alternatives: Provide text alternatives for any non-text content</t>
  </si>
  <si>
    <t>Guideline Outcome</t>
  </si>
  <si>
    <t>Completely Met</t>
  </si>
  <si>
    <t>Met with issues</t>
  </si>
  <si>
    <t>Not Met</t>
  </si>
  <si>
    <t>Agreed Not Applicable</t>
  </si>
  <si>
    <t>WCAG Section</t>
  </si>
  <si>
    <t>Guidance on Meeting Standards</t>
  </si>
  <si>
    <t>Confirmation of Criteria Met</t>
  </si>
  <si>
    <t>Project Comments</t>
  </si>
  <si>
    <t>CPS Digital Accessibility Comments</t>
  </si>
  <si>
    <t>1.1.1 Non-text Content
(Level A)</t>
  </si>
  <si>
    <r>
      <rPr>
        <sz val="11"/>
        <rFont val="Arial"/>
        <family val="2"/>
      </rPr>
      <t>Images, form image buttons, and image map hot spots have appropriate, equivalent</t>
    </r>
    <r>
      <rPr>
        <u/>
        <sz val="11"/>
        <color theme="10"/>
        <rFont val="Arial"/>
        <family val="2"/>
      </rPr>
      <t xml:space="preserve"> alternative text</t>
    </r>
  </si>
  <si>
    <t>Images that do not convey content, are decorative, or contain content that is already conveyed in text are given null alt text (alt="") or implemented as CSS backgrounds. All linked images have descriptive alternative text.</t>
  </si>
  <si>
    <t>Equivalent alternatives to complex images are provided in context or on a separate linked page.</t>
  </si>
  <si>
    <t>Form buttons have a descriptive value.</t>
  </si>
  <si>
    <r>
      <rPr>
        <sz val="11"/>
        <rFont val="Arial"/>
        <family val="2"/>
      </rPr>
      <t xml:space="preserve">Form inputs have associated </t>
    </r>
    <r>
      <rPr>
        <u/>
        <sz val="11"/>
        <color theme="10"/>
        <rFont val="Arial"/>
        <family val="2"/>
      </rPr>
      <t>text labels.</t>
    </r>
  </si>
  <si>
    <t>Embedded multimedia is identified via accessible text.</t>
  </si>
  <si>
    <r>
      <rPr>
        <sz val="11"/>
        <rFont val="Arial"/>
        <family val="2"/>
      </rPr>
      <t xml:space="preserve">Frames and iframes are appropriately </t>
    </r>
    <r>
      <rPr>
        <u/>
        <sz val="11"/>
        <color theme="10"/>
        <rFont val="Arial"/>
        <family val="2"/>
      </rPr>
      <t>titled.</t>
    </r>
  </si>
  <si>
    <t>Guideline 1.2
Time-based Media: Provide alternatives for time-based media</t>
  </si>
  <si>
    <t>1.2.1 Pre-recorded Audio-only and Video-only
(Level A)</t>
  </si>
  <si>
    <r>
      <rPr>
        <sz val="11"/>
        <rFont val="Arial"/>
        <family val="2"/>
      </rPr>
      <t xml:space="preserve">A </t>
    </r>
    <r>
      <rPr>
        <u/>
        <sz val="11"/>
        <color theme="10"/>
        <rFont val="Arial"/>
        <family val="2"/>
      </rPr>
      <t>transcript</t>
    </r>
    <r>
      <rPr>
        <sz val="11"/>
        <rFont val="Arial"/>
        <family val="2"/>
      </rPr>
      <t xml:space="preserve"> of relevant content is provided for non-live audio-only (audio podcasts, MP3 files, etc.).</t>
    </r>
  </si>
  <si>
    <r>
      <rPr>
        <sz val="11"/>
        <rFont val="Arial"/>
        <family val="2"/>
      </rPr>
      <t xml:space="preserve">A transcript or </t>
    </r>
    <r>
      <rPr>
        <u/>
        <sz val="11"/>
        <color theme="10"/>
        <rFont val="Arial"/>
        <family val="2"/>
      </rPr>
      <t>audio description</t>
    </r>
    <r>
      <rPr>
        <sz val="11"/>
        <rFont val="Arial"/>
        <family val="2"/>
      </rPr>
      <t xml:space="preserve"> of relevant content is provided for non-live video-only, unless the video is decorative.</t>
    </r>
  </si>
  <si>
    <t>1.2.2 Captions (Pre-recorded)
(Level A)</t>
  </si>
  <si>
    <r>
      <t>Synchronized captions</t>
    </r>
    <r>
      <rPr>
        <sz val="11"/>
        <rFont val="Arial"/>
        <family val="2"/>
      </rPr>
      <t xml:space="preserve"> are provided for non-live video (YouTube videos, etc.).</t>
    </r>
  </si>
  <si>
    <t>1.2.3 Audio Description or Media Alternative (Pre-recorded)
(Level A)</t>
  </si>
  <si>
    <t>A transcript or audio description is provided for non-live video. NOTE: Only required if there is relevant visual content that is not presented in the audio.</t>
  </si>
  <si>
    <t>1.2.4 Captions (Live)
(Level AA)</t>
  </si>
  <si>
    <t>Synchronized captions are provided for live media that contains audio (audio-only broadcasts, web casts, video conferences, etc.)</t>
  </si>
  <si>
    <t>1.2.5 Audio Description (Pre-recorded)
(Level AA)</t>
  </si>
  <si>
    <t>Audio descriptions are provided for non-live video. NOTE: Only required if there is relevant visual content that is not presented in the audio.</t>
  </si>
  <si>
    <t>While not required at Level AA, for optimal accessibility WebAIM recommends transcripts in addition to audio descriptions.</t>
  </si>
  <si>
    <t>1.2.6 Sign Language (Pre-recorded)
(Level AAA)</t>
  </si>
  <si>
    <t>A sign language video is provided for media that contains audio.</t>
  </si>
  <si>
    <t>1.2.7 Extended Audio Description (Pre-recorded)
(Level AAA)</t>
  </si>
  <si>
    <t>When audio description cannot be added to video due to audio timing (e.g., insufficient pauses in the audio), an alternative version of the video with pauses that allow audio descriptions is provided.</t>
  </si>
  <si>
    <t>1.2.8 Media Alternative (Pre-recorded)
(Level AAA)</t>
  </si>
  <si>
    <t>A transcript is provided for pre-recorded media that has a video track. For optimal accessibility, WebAIM strongly recommends transcripts for all multimedia.</t>
  </si>
  <si>
    <t>1.2.9 Audio-only (Live)
(Level AAA)</t>
  </si>
  <si>
    <t>A descriptive text transcript (e.g., the script of the live audio) is provided for live content that has audio.</t>
  </si>
  <si>
    <t>Guideline 1.3
Adaptable: Create content that can be presented in different ways (for example simpler layout) without losing information or structure</t>
  </si>
  <si>
    <t>1.3.1 Info and Relationships
(Level A)</t>
  </si>
  <si>
    <r>
      <t>Semantic mark-up</t>
    </r>
    <r>
      <rPr>
        <sz val="11"/>
        <rFont val="Arial"/>
        <family val="2"/>
      </rPr>
      <t xml:space="preserve"> is used to designate headings (&lt;h1&gt;), regions/landmarks, lists (&lt;ul&gt;, &lt;ol&gt;, and &lt;dl&gt;), emphasized or special text (&lt;strong&gt;, &lt;code&gt;, &lt;abbr&gt;, &lt;blockquote&gt;, for example), etc. Semantic mark-up is used appropriately.</t>
    </r>
  </si>
  <si>
    <r>
      <rPr>
        <b/>
        <sz val="11"/>
        <color theme="1"/>
        <rFont val="Arial"/>
        <family val="2"/>
      </rPr>
      <t>Additional guidance on Semantic Mark-ups</t>
    </r>
    <r>
      <rPr>
        <sz val="11"/>
        <color theme="1"/>
        <rFont val="Arial"/>
        <family val="2"/>
      </rPr>
      <t xml:space="preserve">
•	https://webaim.org/techniques/semanticstructure/
•	https://www.w3.org/WAI/WCAG21/Techniques/html/H49
•	https://learn-the-web.algonquindesign.ca/topics/html-semantics-cheat-sheet/</t>
    </r>
  </si>
  <si>
    <r>
      <t>Tables</t>
    </r>
    <r>
      <rPr>
        <sz val="11"/>
        <rFont val="Arial"/>
        <family val="2"/>
      </rPr>
      <t xml:space="preserve"> are used for tabular data and data cells are associated with their headers. Data table captions, if present, are associated to data tables.</t>
    </r>
  </si>
  <si>
    <r>
      <t>Text labels</t>
    </r>
    <r>
      <rPr>
        <sz val="11"/>
        <rFont val="Arial"/>
        <family val="2"/>
      </rPr>
      <t xml:space="preserve"> are associated with form input elements. Related form elements are grouped with fieldset/legend. ARIA labelling may be used when standard HTML is insufficient.</t>
    </r>
  </si>
  <si>
    <t>1.3.2 Meaningful Sequence
(Level A)</t>
  </si>
  <si>
    <r>
      <rPr>
        <sz val="11"/>
        <rFont val="Arial"/>
        <family val="2"/>
      </rPr>
      <t xml:space="preserve">The </t>
    </r>
    <r>
      <rPr>
        <u/>
        <sz val="11"/>
        <color theme="10"/>
        <rFont val="Arial"/>
        <family val="2"/>
      </rPr>
      <t>reading and navigation order</t>
    </r>
    <r>
      <rPr>
        <sz val="11"/>
        <rFont val="Arial"/>
        <family val="2"/>
      </rPr>
      <t xml:space="preserve"> (determined by code order) is logical and intuitive.</t>
    </r>
  </si>
  <si>
    <t>1.3.3 Sensory Characteristics
(Level A)</t>
  </si>
  <si>
    <t>Instructions do not rely upon shape, size, or visual location (e.g., "Click the square icon to continue" or "Instructions are in the right-hand column").</t>
  </si>
  <si>
    <t>Instructions do not rely upon sound (e.g., "A beeping sound indicates you may continue.").</t>
  </si>
  <si>
    <t>1.3.4 Orientation
(Level AA)</t>
  </si>
  <si>
    <t>Orientation of web content is not restricted to only portrait or landscape, unless a specific orientation is necessary.</t>
  </si>
  <si>
    <t>1.3.5 Identify Input Purpose
(Level AA)</t>
  </si>
  <si>
    <r>
      <rPr>
        <sz val="11"/>
        <rFont val="Arial"/>
        <family val="2"/>
      </rPr>
      <t xml:space="preserve">Input fields that collect </t>
    </r>
    <r>
      <rPr>
        <u/>
        <sz val="11"/>
        <color theme="10"/>
        <rFont val="Arial"/>
        <family val="2"/>
      </rPr>
      <t>certain types of user information</t>
    </r>
    <r>
      <rPr>
        <sz val="11"/>
        <rFont val="Arial"/>
        <family val="2"/>
      </rPr>
      <t xml:space="preserve"> have an appropriate autocomplete attribute defined.</t>
    </r>
  </si>
  <si>
    <t>1.3.6 Identify Purpose
(Level AAA)</t>
  </si>
  <si>
    <t>HTML5 regions or ARIA landmarks are used to identify page regions.</t>
  </si>
  <si>
    <t>ARIA is used, where appropriate, to enhance HTML semantics to better identify the purpose of interface components.</t>
  </si>
  <si>
    <t>Guideline 1.4
Distinguishable: Make it easier for users to see and hear content including separating foreground from background</t>
  </si>
  <si>
    <t>1.4.1 Use of Colour
(Level A)</t>
  </si>
  <si>
    <t>Colour is not used as the sole method of conveying content or distinguishing visual elements.</t>
  </si>
  <si>
    <r>
      <rPr>
        <sz val="11"/>
        <rFont val="Arial"/>
        <family val="2"/>
      </rPr>
      <t xml:space="preserve">Colour alone is not used to distinguish </t>
    </r>
    <r>
      <rPr>
        <u/>
        <sz val="11"/>
        <color theme="10"/>
        <rFont val="Arial"/>
        <family val="2"/>
      </rPr>
      <t>links</t>
    </r>
    <r>
      <rPr>
        <sz val="11"/>
        <rFont val="Arial"/>
        <family val="2"/>
      </rPr>
      <t xml:space="preserve"> from surrounding text unless the contrast ratio between the link and the surrounding text is at least 3:1 and an additional distinction (e.g., it becomes underlined) is provided when the link is hovered over and receives focus.</t>
    </r>
  </si>
  <si>
    <r>
      <rPr>
        <b/>
        <sz val="11"/>
        <color theme="1"/>
        <rFont val="Arial"/>
        <family val="2"/>
      </rPr>
      <t>Tool tips
Additional information on contrast ratio</t>
    </r>
    <r>
      <rPr>
        <sz val="11"/>
        <color theme="1"/>
        <rFont val="Arial"/>
        <family val="2"/>
      </rPr>
      <t xml:space="preserve">
https://webaim.org/resources/linkcontrastchecker/
</t>
    </r>
    <r>
      <rPr>
        <b/>
        <sz val="11"/>
        <color theme="1"/>
        <rFont val="Arial"/>
        <family val="2"/>
      </rPr>
      <t>Tool to check contrast</t>
    </r>
    <r>
      <rPr>
        <sz val="11"/>
        <color theme="1"/>
        <rFont val="Arial"/>
        <family val="2"/>
      </rPr>
      <t xml:space="preserve">
https://webaim.org/resources/contrastchecker/</t>
    </r>
  </si>
  <si>
    <t>1.4.2 Audio Control
(Level A)</t>
  </si>
  <si>
    <t>A mechanism is provided to stop, pause, mute, or adjust volume for audio that automatically plays on a page for more than 3 seconds.</t>
  </si>
  <si>
    <t>1.4.3 Contrast (Minimum)
(Level AA)</t>
  </si>
  <si>
    <t>Text and images of text have a contrast ratio of at least 4.5:1.</t>
  </si>
  <si>
    <r>
      <rPr>
        <b/>
        <sz val="11"/>
        <color theme="1"/>
        <rFont val="Arial"/>
        <family val="2"/>
      </rPr>
      <t xml:space="preserve">Tool tip
</t>
    </r>
    <r>
      <rPr>
        <sz val="11"/>
        <color theme="1"/>
        <rFont val="Arial"/>
        <family val="2"/>
      </rPr>
      <t>To check contrast
https://webaim.org/resources/contrastchecker/</t>
    </r>
  </si>
  <si>
    <t>Large text - at least 18 point (typically 24px) or 14 point (typically 18.66px) and bold - has a contrast ratio of at least 3:1.</t>
  </si>
  <si>
    <t>1.4.4 Resize text (Level AA)</t>
  </si>
  <si>
    <r>
      <rPr>
        <sz val="11"/>
        <rFont val="Arial"/>
        <family val="2"/>
      </rPr>
      <t xml:space="preserve">The page is readable and functional when the page is zoomed to 200%. NOTE: </t>
    </r>
    <r>
      <rPr>
        <u/>
        <sz val="11"/>
        <color theme="10"/>
        <rFont val="Arial"/>
        <family val="2"/>
      </rPr>
      <t>1.4.10 (below)</t>
    </r>
    <r>
      <rPr>
        <sz val="11"/>
        <rFont val="Arial"/>
        <family val="2"/>
      </rPr>
      <t xml:space="preserve"> introduces a much higher requirement for zoomed content.</t>
    </r>
  </si>
  <si>
    <t>1.4.5 Images of Text (Level AA)</t>
  </si>
  <si>
    <t>If the same visual presentation can be made using text alone, an image is not used to present that text.</t>
  </si>
  <si>
    <t>1.4.10 Reflow
(Level AA)</t>
  </si>
  <si>
    <t>No loss of content or functionality occurs and horizontal scrolling is avoided when content is presented at a width of 320 pixels. This requires responsive design for most web sites. This is best tested by setting the browser window to 1280 pixels wide and then zooming the page content to 400%.</t>
  </si>
  <si>
    <t>Content that requires horizontal scrolling, such as data tables, complex images (such as maps and charts), toolbars, etc. are exempted.</t>
  </si>
  <si>
    <t>1.4.11 Non-text Contrast
(Level AA)</t>
  </si>
  <si>
    <t>A contrast ratio of at least 3:1 is present for differentiating graphical objects (such as icons and components of charts or graphs) and author-customized interface components (such as buttons, form controls, and focus indicators/outlines).</t>
  </si>
  <si>
    <t>At least 3:1 contrast must be provided in the various states (focus, hover, active, etc.) of author-customized interactive components.</t>
  </si>
  <si>
    <t>1.4.12 Text Spacing
(Level AA)</t>
  </si>
  <si>
    <t>No loss of content or functionality occurs when the user adapts paragraph spacing to 2 times the font size, text line height/spacing to 1.5 times the font size, word spacing to .16 times the font size, and letter spacing to .12 times the font size.</t>
  </si>
  <si>
    <t>This is best supported by avoiding pixel height definitions for elements that contain text.</t>
  </si>
  <si>
    <t>1.4.13 Content on Hover or Focus
(Level AA)</t>
  </si>
  <si>
    <t>When additional content is presented on hover or keyboard focus:</t>
  </si>
  <si>
    <t>·       The newly revealed content can be dismissed (generally via the Esc key) without moving the pointer or keyboard focus, unless the content presents an input error or does not obscure or interfere with other page content.</t>
  </si>
  <si>
    <t>·       The pointer can be moved to the new content without the content disappearing.</t>
  </si>
  <si>
    <t>·       The new content must remain visible until the pointer or keyboard focus is moved away from the triggering control, the new content is dismissed, or the new content is no longer relevant.</t>
  </si>
  <si>
    <t>Criteria 2 - Operable</t>
  </si>
  <si>
    <t>Interface forms, controls, and navigation are operable</t>
  </si>
  <si>
    <t>Guideline 2.1
Keyboard Accessible: Make all functionality available from a keyboard</t>
  </si>
  <si>
    <t>2.1.1 Keyboard
(Level A)</t>
  </si>
  <si>
    <r>
      <rPr>
        <sz val="11"/>
        <rFont val="Arial"/>
        <family val="2"/>
      </rPr>
      <t xml:space="preserve">All page functionality is available using the </t>
    </r>
    <r>
      <rPr>
        <u/>
        <sz val="11"/>
        <color theme="10"/>
        <rFont val="Arial"/>
        <family val="2"/>
      </rPr>
      <t>keyboard</t>
    </r>
    <r>
      <rPr>
        <sz val="11"/>
        <rFont val="Arial"/>
        <family val="2"/>
      </rPr>
      <t>, unless the functionality cannot be accomplished in any known way using a keyboard (e.g., free hand drawing).</t>
    </r>
  </si>
  <si>
    <r>
      <rPr>
        <b/>
        <sz val="11"/>
        <color theme="1"/>
        <rFont val="Arial"/>
        <family val="2"/>
      </rPr>
      <t>Tool tip</t>
    </r>
    <r>
      <rPr>
        <sz val="11"/>
        <color theme="1"/>
        <rFont val="Arial"/>
        <family val="2"/>
      </rPr>
      <t xml:space="preserve">
Using TAB/Arrow keys to access elements; Enter or spacebar to invoke the elements</t>
    </r>
  </si>
  <si>
    <t>Page-specified shortcut keys and access keys (access key should typically be avoided) do not conflict with existing browser and screen reader shortcuts.</t>
  </si>
  <si>
    <t>2.1.2 No Keyboard Trap
(Level A)</t>
  </si>
  <si>
    <r>
      <t>Keyboard</t>
    </r>
    <r>
      <rPr>
        <sz val="11"/>
        <rFont val="Arial"/>
        <family val="2"/>
      </rPr>
      <t xml:space="preserve"> focus is never locked or trapped at one particular page element. The user can navigate to and from all navigable page elements using only a keyboard.</t>
    </r>
  </si>
  <si>
    <r>
      <rPr>
        <b/>
        <sz val="11"/>
        <color theme="1"/>
        <rFont val="Arial"/>
        <family val="2"/>
      </rPr>
      <t>Tool tip</t>
    </r>
    <r>
      <rPr>
        <sz val="11"/>
        <color theme="1"/>
        <rFont val="Arial"/>
        <family val="2"/>
      </rPr>
      <t xml:space="preserve"> https://www.w3.org/TR/UNDERSTANDING-WCAG20/keyboard-operation-trapping.html</t>
    </r>
  </si>
  <si>
    <t>2.1.4 Character Key Shortcuts
(Level A)</t>
  </si>
  <si>
    <t>If a keyboard shortcut uses printable character keys, then the user must be able to disable the key command, change the defined key to a non-printable key (Ctrl, Alt, etc.), or only activate the shortcut when an associated interface component or button is focused.</t>
  </si>
  <si>
    <t>Guideline 2.2
Enough Time: Provide users enough time to read and use content</t>
  </si>
  <si>
    <t>2.2.1 Timing Adjustable
(Level A)</t>
  </si>
  <si>
    <t>If a page or application has a time limit, the user is given options to turn off, adjust, or extend that time limit. This is not a requirement for real-time events (e.g., an auction), where the time limit is absolutely required, or if the time limit is longer than 20 hours.</t>
  </si>
  <si>
    <t>2.2.2 Pause, Stop, Hide
(Level A)</t>
  </si>
  <si>
    <t>Automatically moving, blinking, or scrolling content (such as carousels, marquees, or animations) that lasts longer than 5 seconds can be paused, stopped, or hidden by the user.</t>
  </si>
  <si>
    <t>Automatically updating content (e.g., a dynamically-updating news ticker, chat messages, etc.) can be paused, stopped, or hidden by the user or the user can manually control the timing of the updates.</t>
  </si>
  <si>
    <t>Guideline 2.3
Seizures and Physical Reactions: Do not design content in a way that is known to cause seizures or physical reactions.</t>
  </si>
  <si>
    <t>2.3.1 Three Flashes or Below Threshold
(Level A)</t>
  </si>
  <si>
    <r>
      <rPr>
        <sz val="11"/>
        <rFont val="Arial"/>
        <family val="2"/>
      </rPr>
      <t xml:space="preserve">No page content </t>
    </r>
    <r>
      <rPr>
        <u/>
        <sz val="11"/>
        <color theme="10"/>
        <rFont val="Arial"/>
        <family val="2"/>
      </rPr>
      <t>flashe</t>
    </r>
    <r>
      <rPr>
        <sz val="11"/>
        <rFont val="Arial"/>
        <family val="2"/>
      </rPr>
      <t>s more than 3 times per second unless that flashing content is sufficiently small and the flashes are of low contrast and do not contain too much red. (See general flash and red flash thresholds)</t>
    </r>
  </si>
  <si>
    <r>
      <rPr>
        <b/>
        <sz val="11"/>
        <color theme="1"/>
        <rFont val="Arial"/>
        <family val="2"/>
      </rPr>
      <t>See general flash and red flash thresholds</t>
    </r>
    <r>
      <rPr>
        <sz val="11"/>
        <color theme="1"/>
        <rFont val="Arial"/>
        <family val="2"/>
      </rPr>
      <t xml:space="preserve">
https://www.w3.org/TR/WCAG21/#dfn-general-flash-and-red-flash-thresholds</t>
    </r>
  </si>
  <si>
    <t>Guideline 2.4
Navigable: Provide ways to help users navigate, find content, and determine where they are.</t>
  </si>
  <si>
    <t>2.4.1 Bypass Blocks
(Level A)</t>
  </si>
  <si>
    <r>
      <rPr>
        <sz val="11"/>
        <rFont val="Arial"/>
        <family val="2"/>
      </rPr>
      <t xml:space="preserve">A link is provided to </t>
    </r>
    <r>
      <rPr>
        <u/>
        <sz val="11"/>
        <color theme="10"/>
        <rFont val="Arial"/>
        <family val="2"/>
      </rPr>
      <t>skip navigation</t>
    </r>
    <r>
      <rPr>
        <sz val="11"/>
        <rFont val="Arial"/>
        <family val="2"/>
      </rPr>
      <t xml:space="preserve"> and other page elements that are repeated across web pages.</t>
    </r>
  </si>
  <si>
    <t>A proper heading structure and/or identification of page regions/landmarks may be considered a sufficient technique. Because navigating by headings or regions is not supported in most browsers, WebAIM recommends a "skip" link (in addition to headings and regions) to best support sighted keyboard users.</t>
  </si>
  <si>
    <t>2.4.2 Page Titled
(Level A)</t>
  </si>
  <si>
    <t>The web page has a descriptive and informative page title.</t>
  </si>
  <si>
    <t>2.4.3 Focus Order
(Level A)</t>
  </si>
  <si>
    <t>The navigation order of links, form elements, etc. is logical and intuitive.</t>
  </si>
  <si>
    <r>
      <rPr>
        <b/>
        <sz val="11"/>
        <color theme="1"/>
        <rFont val="Arial"/>
        <family val="2"/>
      </rPr>
      <t>Tool tip</t>
    </r>
    <r>
      <rPr>
        <sz val="11"/>
        <color theme="1"/>
        <rFont val="Arial"/>
        <family val="2"/>
      </rPr>
      <t xml:space="preserve">
TAB through the elements to check order</t>
    </r>
  </si>
  <si>
    <t>2.4.4 Link Purpose (In Context)
(Level A)</t>
  </si>
  <si>
    <t>The purpose of each link (or form image button or image map hotspot) can be determined from the link text alone, or from the link text and its context (e.g., surrounding text, list item, previous heading, or table headers).</t>
  </si>
  <si>
    <t>Links (or form image buttons) with the same text that go to different locations are readily distinguishable.</t>
  </si>
  <si>
    <t>2.4.5 Multiple Ways
(Level AA)</t>
  </si>
  <si>
    <r>
      <t>Multiple ways</t>
    </r>
    <r>
      <rPr>
        <sz val="11"/>
        <rFont val="Arial"/>
        <family val="2"/>
      </rPr>
      <t xml:space="preserve"> are available to find other web pages on the site - at least two of: a list of related pages, table of contents, site map, site search, or list of all available web pages.</t>
    </r>
  </si>
  <si>
    <t>2.4.6 Headings and Labels
(Level AA)</t>
  </si>
  <si>
    <t>Page headings and labels for form and interactive controls are informative. Avoid duplicating heading (e.g., "More Details") or label text (e.g., "First Name") unless the structure provides adequate differentiation between them.</t>
  </si>
  <si>
    <t>2.4.7 Focus Visible
(Level AA)</t>
  </si>
  <si>
    <t>It is visually apparent which page element has the current keyboard focus (i.e., as you tab through the page, you can see where you are).</t>
  </si>
  <si>
    <t>Guideline 2.5
Input Modalities: Make it easier for users to operate functionality through various inputs beyond keyboard.</t>
  </si>
  <si>
    <t>2.5.1 Pointer Gestures
(Level A)</t>
  </si>
  <si>
    <t>If multipoint or path-based gestures (such as pinching, swiping, or dragging across the screen) are not essential to the functionality, then the functionality can also be performed with a single point activation (such as activating a button).</t>
  </si>
  <si>
    <t>2.5.2 Pointer Cancellation
(Level A)</t>
  </si>
  <si>
    <t>To help avoid inadvertent activation of controls, avoid non-essential down-event (e.g., onmousedown) activation when clicking, tapping, or long pressing the screen. Use onclick, onmouseup, or similar instead. If onmouseup (or similar) is used, you must provide a mechanism to abort or undo the action performed.</t>
  </si>
  <si>
    <t>2.5.3 Label in Name
(Level A)</t>
  </si>
  <si>
    <t>If an interface component (link, button, etc.) presents text (or images of text), the accessible name (label, alternative text, aria-label, etc.) for that component must include the visible text.</t>
  </si>
  <si>
    <r>
      <rPr>
        <b/>
        <sz val="11"/>
        <color theme="1"/>
        <rFont val="Arial"/>
        <family val="2"/>
      </rPr>
      <t>CPS policy</t>
    </r>
    <r>
      <rPr>
        <sz val="11"/>
        <color theme="1"/>
        <rFont val="Arial"/>
        <family val="2"/>
      </rPr>
      <t xml:space="preserve"> 
Follow S&amp;S recommendation to start the label with the text seen on the element</t>
    </r>
  </si>
  <si>
    <t>2.5.4 Motion Actuation
(Level A)</t>
  </si>
  <si>
    <t>Functionality that is triggered by moving the device (such as shaking or panning a mobile device) or by user movement (such as waving to a camera) can be disabled and equivalent functionality is provided via standard controls like buttons.</t>
  </si>
  <si>
    <t>Criteria 3 - Understandable</t>
  </si>
  <si>
    <t>Information and the operation of user interface must be understandable.</t>
  </si>
  <si>
    <t>Guideline 3.1
Readable: Make text content readable and understandable</t>
  </si>
  <si>
    <t>3.1.1 Language of Page
(Level A)</t>
  </si>
  <si>
    <t>The language of the page is identified using the HTML lang attribute (e.g., &lt;html lang="en"&gt;).</t>
  </si>
  <si>
    <t>3.1.2 Language of Parts
(Level AA)</t>
  </si>
  <si>
    <t>The language of page content that is in a different language is identified using the lang attribute (e.g., &lt;blockquote lang="es"&gt;).</t>
  </si>
  <si>
    <t>Guideline 3.2
Predictable: Make Web pages appear and operate in predictable ways</t>
  </si>
  <si>
    <t>3.2.1 On Focus
(Level A)</t>
  </si>
  <si>
    <t>When a page element receives focus, it does not result in a substantial change to the page, the spawning of a pop-up window, an additional change of keyboard focus, or any other change that could confuse or disorient the user.</t>
  </si>
  <si>
    <t>3.2.2 On Input
(Level A)</t>
  </si>
  <si>
    <t>When a user inputs information or interacts with a control, it does not result in a substantial change to the page, the spawning of a pop-up window, an additional change of keyboard focus, or any other change that could confuse or disorient the user unless the user is informed of the change ahead of time.</t>
  </si>
  <si>
    <t>3.2.3 Consistent Navigation
(Level AA)</t>
  </si>
  <si>
    <t>Navigation links that are repeated on web pages do not change order when navigating through the site.</t>
  </si>
  <si>
    <t>3.2.4 Consistent Identification
(Level AA)</t>
  </si>
  <si>
    <t>Elements that have the same functionality across multiple web pages are consistently identified. For example, a search box at the top of the site should always be labelled the same way.</t>
  </si>
  <si>
    <t>Guideline 3.3
Input Assistance: Help users avoid and correct mistakes</t>
  </si>
  <si>
    <t>3.3.1 Error Identification
(Level A)</t>
  </si>
  <si>
    <t>Required form elements or form elements that require a specific format, value, or length provide this information within the element's label.</t>
  </si>
  <si>
    <r>
      <t>Form validation</t>
    </r>
    <r>
      <rPr>
        <sz val="11"/>
        <rFont val="Arial"/>
        <family val="2"/>
      </rPr>
      <t xml:space="preserve"> errors are efficient, intuitive, and accessible. The error is clearly identified, quick access to the problematic element is provided, and the user can easily fix the error and resubmit the form.</t>
    </r>
  </si>
  <si>
    <r>
      <rPr>
        <b/>
        <sz val="11"/>
        <color theme="1"/>
        <rFont val="Arial"/>
        <family val="2"/>
      </rPr>
      <t>Tool tip</t>
    </r>
    <r>
      <rPr>
        <sz val="11"/>
        <color theme="1"/>
        <rFont val="Arial"/>
        <family val="2"/>
      </rPr>
      <t xml:space="preserve">
Are alert messages read out?</t>
    </r>
  </si>
  <si>
    <t>3.3.2 Labels or Instructions
(Level A)</t>
  </si>
  <si>
    <t>Sufficient labels, cues, and instructions for required interactive elements are provided via instructions, examples, properly positioned form labels, and/or fieldsets/legends.</t>
  </si>
  <si>
    <r>
      <rPr>
        <b/>
        <sz val="11"/>
        <color theme="1"/>
        <rFont val="Arial"/>
        <family val="2"/>
      </rPr>
      <t>Tool tip</t>
    </r>
    <r>
      <rPr>
        <sz val="11"/>
        <color theme="1"/>
        <rFont val="Arial"/>
        <family val="2"/>
      </rPr>
      <t xml:space="preserve">
Tag element/functionality to read out instructions</t>
    </r>
  </si>
  <si>
    <t>3.3.3 Error Suggestion
(Level AA)</t>
  </si>
  <si>
    <t>If an input error is detected (via client-side or server-side validation), suggestions are provided for fixing the input in a timely and accessible manner.</t>
  </si>
  <si>
    <r>
      <rPr>
        <b/>
        <sz val="11"/>
        <color theme="1"/>
        <rFont val="Arial"/>
        <family val="2"/>
      </rPr>
      <t>Tool tip</t>
    </r>
    <r>
      <rPr>
        <sz val="11"/>
        <color theme="1"/>
        <rFont val="Arial"/>
        <family val="2"/>
      </rPr>
      <t xml:space="preserve">
Alert messages to be read out</t>
    </r>
  </si>
  <si>
    <t>3.3.4 Error Prevention (Legal, Financial, Data)
(Level AA)</t>
  </si>
  <si>
    <t>If the user can change or delete legal, financial, or test data, the changes/deletions can be reversed, verified, or confirmed.</t>
  </si>
  <si>
    <t>Criteria 4 - Robust</t>
  </si>
  <si>
    <t>Content must be robust enough that it can be interpreted by a wide variety of user agents, including assistive technologies</t>
  </si>
  <si>
    <t>Guideline 4.1
Compatible: Maximize compatibility with current and future user agents, including assistive technologies</t>
  </si>
  <si>
    <t>4.1.1 Parsing
(Level A)</t>
  </si>
  <si>
    <t>Significant HTML/XHTML validation/parsing errors are avoided. Check at http://validator.w3.org/</t>
  </si>
  <si>
    <r>
      <rPr>
        <b/>
        <sz val="11"/>
        <color theme="1"/>
        <rFont val="Arial"/>
        <family val="2"/>
      </rPr>
      <t>Tool tip</t>
    </r>
    <r>
      <rPr>
        <sz val="11"/>
        <color theme="1"/>
        <rFont val="Arial"/>
        <family val="2"/>
      </rPr>
      <t xml:space="preserve">
Check at http://validator.w3.org/</t>
    </r>
  </si>
  <si>
    <t>4.1.2 Name, Role, Value
(Level A)</t>
  </si>
  <si>
    <t>Mark-up is used in a way that facilitates accessibility. This includes following the HTML/XHTML specifications and using forms, form labels, frame titles, etc. appropriately.</t>
  </si>
  <si>
    <t>ARIA is used appropriately to enhance accessibility when HTML is not sufficient.</t>
  </si>
  <si>
    <t>4.1.3 Status Messages
(Level AA)</t>
  </si>
  <si>
    <t>If an important status message is presented and focus is not set to that message, the message must be announced to screen reader users, typically via an ARIA alert or live region.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</si>
</sst>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14">
    <font>
      <sz val="11"/>
      <color theme="1"/>
      <name val="Calibri"/>
      <family val="2"/>
      <scheme val="minor"/>
    </font>
    <font>
      <sz val="12"/>
      <color theme="1"/>
      <name val="Arial"/>
      <family val="2"/>
    </font>
    <font>
      <u/>
      <sz val="11"/>
      <color theme="10"/>
      <name val="Calibri"/>
      <family val="2"/>
      <scheme val="minor"/>
    </font>
    <font>
      <u/>
      <sz val="12"/>
      <color theme="10"/>
      <name val="Arial"/>
      <family val="2"/>
    </font>
    <font>
      <sz val="11"/>
      <color rgb="FF808080"/>
      <name val="Calibri"/>
      <family val="2"/>
      <scheme val="minor"/>
    </font>
    <font>
      <b/>
      <sz val="22"/>
      <color rgb="FFFFFFFF"/>
      <name val="Arial"/>
      <family val="2"/>
    </font>
    <font>
      <b/>
      <sz val="10"/>
      <color rgb="FFFFFFFF"/>
      <name val="Arial"/>
      <family val="2"/>
    </font>
    <font>
      <b/>
      <sz val="11"/>
      <color rgb="FF1F497D"/>
      <name val="Arial"/>
      <family val="2"/>
    </font>
    <font>
      <u/>
      <sz val="11"/>
      <color theme="10"/>
      <name val="Arial"/>
      <family val="2"/>
    </font>
    <font>
      <sz val="11"/>
      <color theme="1"/>
      <name val="Arial"/>
      <family val="2"/>
    </font>
    <font>
      <sz val="11"/>
      <name val="Arial"/>
      <family val="2"/>
    </font>
    <font>
      <b/>
      <sz val="11"/>
      <color theme="1"/>
      <name val="Arial"/>
      <family val="2"/>
    </font>
    <font>
      <b/>
      <u/>
      <sz val="11"/>
      <color theme="1"/>
      <name val="Arial"/>
      <family val="2"/>
    </font>
    <font>
      <b/>
      <sz val="11"/>
      <color theme="0"/>
      <name val="Arial"/>
      <family val="2"/>
    </font>
  </fonts>
  <fills count="11">
    <fill>
      <patternFill patternType="none"/>
    </fill>
    <fill>
      <patternFill patternType="gray125"/>
    </fill>
    <fill>
      <patternFill patternType="solid">
        <fgColor rgb="FF1F497D"/>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2"/>
        <bgColor indexed="64"/>
      </patternFill>
    </fill>
    <fill>
      <patternFill patternType="solid">
        <fgColor theme="0" tint="-0.499984740745262"/>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1"/>
        <bgColor indexed="64"/>
      </patternFill>
    </fill>
  </fills>
  <borders count="18">
    <border>
      <left/>
      <right/>
      <top/>
      <bottom/>
      <diagonal/>
    </border>
    <border>
      <left style="medium">
        <color theme="3"/>
      </left>
      <right style="medium">
        <color theme="3"/>
      </right>
      <top style="medium">
        <color theme="3"/>
      </top>
      <bottom style="medium">
        <color indexed="64"/>
      </bottom>
      <diagonal/>
    </border>
    <border>
      <left style="medium">
        <color theme="3"/>
      </left>
      <right style="medium">
        <color theme="3"/>
      </right>
      <top style="medium">
        <color theme="3"/>
      </top>
      <bottom style="medium">
        <color theme="3"/>
      </bottom>
      <diagonal/>
    </border>
    <border>
      <left style="medium">
        <color theme="3"/>
      </left>
      <right style="medium">
        <color theme="3"/>
      </right>
      <top style="medium">
        <color indexed="64"/>
      </top>
      <bottom style="medium">
        <color theme="3"/>
      </bottom>
      <diagonal/>
    </border>
    <border>
      <left style="mediumDashDotDot">
        <color rgb="FF7030A0"/>
      </left>
      <right/>
      <top style="mediumDashDotDot">
        <color rgb="FF7030A0"/>
      </top>
      <bottom/>
      <diagonal/>
    </border>
    <border>
      <left/>
      <right/>
      <top style="mediumDashDotDot">
        <color rgb="FF7030A0"/>
      </top>
      <bottom/>
      <diagonal/>
    </border>
    <border>
      <left/>
      <right style="mediumDashDotDot">
        <color rgb="FF7030A0"/>
      </right>
      <top style="mediumDashDotDot">
        <color rgb="FF7030A0"/>
      </top>
      <bottom/>
      <diagonal/>
    </border>
    <border>
      <left style="mediumDashDotDot">
        <color rgb="FF7030A0"/>
      </left>
      <right/>
      <top/>
      <bottom/>
      <diagonal/>
    </border>
    <border>
      <left/>
      <right style="mediumDashDotDot">
        <color rgb="FF7030A0"/>
      </right>
      <top/>
      <bottom/>
      <diagonal/>
    </border>
    <border>
      <left style="mediumDashDotDot">
        <color rgb="FF7030A0"/>
      </left>
      <right/>
      <top/>
      <bottom style="mediumDashDotDot">
        <color rgb="FF7030A0"/>
      </bottom>
      <diagonal/>
    </border>
    <border>
      <left/>
      <right/>
      <top/>
      <bottom style="mediumDashDotDot">
        <color rgb="FF7030A0"/>
      </bottom>
      <diagonal/>
    </border>
    <border>
      <left/>
      <right style="mediumDashDotDot">
        <color rgb="FF7030A0"/>
      </right>
      <top/>
      <bottom style="mediumDashDotDot">
        <color rgb="FF7030A0"/>
      </bottom>
      <diagonal/>
    </border>
    <border>
      <left style="medium">
        <color theme="3"/>
      </left>
      <right style="medium">
        <color theme="3"/>
      </right>
      <top style="medium">
        <color theme="3"/>
      </top>
      <bottom/>
      <diagonal/>
    </border>
    <border>
      <left style="medium">
        <color theme="3"/>
      </left>
      <right style="medium">
        <color theme="3"/>
      </right>
      <top/>
      <bottom style="medium">
        <color theme="3"/>
      </bottom>
      <diagonal/>
    </border>
    <border>
      <left style="medium">
        <color theme="3"/>
      </left>
      <right style="medium">
        <color theme="3"/>
      </right>
      <top/>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2">
    <xf numFmtId="0" fontId="0" fillId="0" borderId="0"/>
    <xf numFmtId="0" fontId="2" fillId="0" borderId="0" applyNumberFormat="0" applyFill="0" applyBorder="0" applyAlignment="0" applyProtection="0"/>
  </cellStyleXfs>
  <cellXfs count="61">
    <xf numFmtId="0" fontId="0" fillId="0" borderId="0" xfId="0"/>
    <xf numFmtId="0" fontId="1" fillId="0" borderId="0" xfId="0" applyFont="1"/>
    <xf numFmtId="0" fontId="1" fillId="0" borderId="0" xfId="0" applyFont="1" applyAlignment="1">
      <alignment horizontal="left" wrapText="1"/>
    </xf>
    <xf numFmtId="0" fontId="4" fillId="0" borderId="0" xfId="0" applyFont="1"/>
    <xf numFmtId="0" fontId="7" fillId="0" borderId="2" xfId="0" applyFont="1" applyBorder="1" applyAlignment="1">
      <alignment horizontal="center" vertical="center" wrapText="1"/>
    </xf>
    <xf numFmtId="0" fontId="1" fillId="0" borderId="2" xfId="0" applyFont="1" applyBorder="1" applyAlignment="1">
      <alignment horizontal="left" vertical="top" wrapText="1"/>
    </xf>
    <xf numFmtId="0" fontId="1" fillId="0" borderId="2" xfId="0" applyFont="1" applyBorder="1" applyAlignment="1">
      <alignment horizontal="center" vertical="center" wrapText="1"/>
    </xf>
    <xf numFmtId="0" fontId="3" fillId="0" borderId="2" xfId="1" applyFont="1" applyBorder="1" applyAlignment="1">
      <alignment horizontal="center" vertical="center" wrapText="1"/>
    </xf>
    <xf numFmtId="0" fontId="8" fillId="0" borderId="2" xfId="1" applyFont="1" applyBorder="1" applyAlignment="1">
      <alignment horizontal="center" vertical="center" wrapText="1"/>
    </xf>
    <xf numFmtId="0" fontId="7" fillId="5" borderId="2" xfId="0" applyFont="1" applyFill="1" applyBorder="1" applyAlignment="1">
      <alignment horizontal="center" vertical="center" wrapText="1"/>
    </xf>
    <xf numFmtId="0" fontId="9" fillId="0" borderId="2" xfId="0" applyFont="1" applyBorder="1" applyAlignment="1">
      <alignment horizontal="left" vertical="top" wrapText="1"/>
    </xf>
    <xf numFmtId="0" fontId="9" fillId="0" borderId="2" xfId="0" applyFont="1" applyBorder="1" applyAlignment="1">
      <alignment vertical="top" wrapText="1"/>
    </xf>
    <xf numFmtId="0" fontId="9" fillId="0" borderId="1" xfId="0" applyFont="1" applyBorder="1" applyAlignment="1">
      <alignment horizontal="left" vertical="top" wrapText="1"/>
    </xf>
    <xf numFmtId="0" fontId="9" fillId="0" borderId="0" xfId="0" applyFont="1"/>
    <xf numFmtId="0" fontId="8" fillId="0" borderId="2" xfId="1" applyFont="1" applyBorder="1" applyAlignment="1">
      <alignment horizontal="left" vertical="top" wrapText="1"/>
    </xf>
    <xf numFmtId="0" fontId="9" fillId="0" borderId="2" xfId="0" applyFont="1" applyBorder="1" applyAlignment="1">
      <alignment horizontal="center" vertical="center" wrapText="1"/>
    </xf>
    <xf numFmtId="0" fontId="8" fillId="0" borderId="1" xfId="1" applyFont="1" applyBorder="1" applyAlignment="1">
      <alignment horizontal="left" vertical="top" wrapText="1"/>
    </xf>
    <xf numFmtId="0" fontId="9" fillId="0" borderId="1" xfId="0" applyFont="1" applyBorder="1" applyAlignment="1">
      <alignment horizontal="center" vertical="center" wrapText="1"/>
    </xf>
    <xf numFmtId="0" fontId="8" fillId="0" borderId="2" xfId="1" applyFont="1" applyFill="1" applyBorder="1" applyAlignment="1">
      <alignment horizontal="center" vertical="center" wrapText="1"/>
    </xf>
    <xf numFmtId="0" fontId="8" fillId="0" borderId="2" xfId="1" applyFont="1" applyFill="1" applyBorder="1" applyAlignment="1">
      <alignment horizontal="left" vertical="top" wrapText="1"/>
    </xf>
    <xf numFmtId="0" fontId="9" fillId="0" borderId="0" xfId="0" applyFont="1" applyAlignment="1">
      <alignment horizontal="left" wrapText="1"/>
    </xf>
    <xf numFmtId="0" fontId="9" fillId="0" borderId="6" xfId="0" applyFont="1" applyBorder="1"/>
    <xf numFmtId="0" fontId="9" fillId="0" borderId="8" xfId="0" applyFont="1" applyBorder="1"/>
    <xf numFmtId="0" fontId="9" fillId="0" borderId="11" xfId="0" applyFont="1" applyBorder="1"/>
    <xf numFmtId="0" fontId="11" fillId="0" borderId="0" xfId="0" applyFont="1"/>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9" borderId="0" xfId="0" applyFont="1" applyFill="1" applyAlignment="1">
      <alignment horizontal="center" vertical="center"/>
    </xf>
    <xf numFmtId="0" fontId="13" fillId="10" borderId="0" xfId="0" applyFont="1" applyFill="1" applyAlignment="1">
      <alignment horizontal="center" vertical="center"/>
    </xf>
    <xf numFmtId="0" fontId="9" fillId="0" borderId="0" xfId="0" applyFont="1" applyAlignment="1">
      <alignment horizontal="center" vertical="center"/>
    </xf>
    <xf numFmtId="0" fontId="9" fillId="0" borderId="0" xfId="0" applyFont="1" applyAlignment="1">
      <alignment horizontal="center"/>
    </xf>
    <xf numFmtId="0" fontId="9" fillId="0" borderId="0" xfId="0" applyFont="1" applyAlignment="1">
      <alignment horizontal="left"/>
    </xf>
    <xf numFmtId="0" fontId="9" fillId="0" borderId="0" xfId="0" applyFont="1" applyAlignment="1">
      <alignment horizontal="left" wrapText="1"/>
    </xf>
    <xf numFmtId="164" fontId="9" fillId="0" borderId="0" xfId="0" applyNumberFormat="1" applyFont="1" applyAlignment="1">
      <alignment horizontal="left"/>
    </xf>
    <xf numFmtId="0" fontId="9" fillId="0" borderId="0" xfId="0" applyFont="1" applyAlignment="1">
      <alignment horizontal="right"/>
    </xf>
    <xf numFmtId="0" fontId="12" fillId="0" borderId="0" xfId="0" applyFont="1" applyAlignment="1">
      <alignment horizontal="left"/>
    </xf>
    <xf numFmtId="0" fontId="8" fillId="0" borderId="0" xfId="1" applyFont="1" applyAlignment="1">
      <alignment horizontal="left"/>
    </xf>
    <xf numFmtId="0" fontId="11" fillId="0" borderId="0" xfId="0" applyFont="1" applyAlignment="1">
      <alignment horizontal="left"/>
    </xf>
    <xf numFmtId="0" fontId="11" fillId="0" borderId="4" xfId="0" applyFont="1" applyBorder="1" applyAlignment="1">
      <alignment horizontal="left"/>
    </xf>
    <xf numFmtId="0" fontId="11" fillId="0" borderId="5" xfId="0" applyFont="1" applyBorder="1" applyAlignment="1">
      <alignment horizontal="left"/>
    </xf>
    <xf numFmtId="0" fontId="5" fillId="2" borderId="2" xfId="0" applyFont="1" applyFill="1" applyBorder="1" applyAlignment="1">
      <alignment horizontal="center" vertical="center" wrapText="1"/>
    </xf>
    <xf numFmtId="0" fontId="6" fillId="3" borderId="2" xfId="0" applyFont="1" applyFill="1" applyBorder="1" applyAlignment="1">
      <alignment horizontal="center" vertical="center" wrapText="1"/>
    </xf>
    <xf numFmtId="0" fontId="7" fillId="4" borderId="2" xfId="0" applyFont="1" applyFill="1" applyBorder="1" applyAlignment="1">
      <alignment horizontal="center" vertical="center" wrapText="1"/>
    </xf>
    <xf numFmtId="0" fontId="8" fillId="0" borderId="2" xfId="1" applyFont="1" applyBorder="1" applyAlignment="1">
      <alignment horizontal="center" vertical="center" wrapText="1"/>
    </xf>
    <xf numFmtId="0" fontId="8" fillId="0" borderId="2" xfId="1" applyFont="1" applyBorder="1" applyAlignment="1">
      <alignment horizontal="center" vertical="center"/>
    </xf>
    <xf numFmtId="0" fontId="8" fillId="0" borderId="1" xfId="1" applyFont="1" applyBorder="1" applyAlignment="1">
      <alignment horizontal="center" vertical="center"/>
    </xf>
    <xf numFmtId="0" fontId="8" fillId="0" borderId="12" xfId="1" applyFont="1" applyBorder="1" applyAlignment="1">
      <alignment horizontal="center" vertical="center" wrapText="1"/>
    </xf>
    <xf numFmtId="0" fontId="8" fillId="0" borderId="14" xfId="1" applyFont="1" applyBorder="1" applyAlignment="1">
      <alignment horizontal="center" vertical="center" wrapText="1"/>
    </xf>
    <xf numFmtId="0" fontId="8" fillId="0" borderId="13" xfId="1" applyFont="1" applyBorder="1" applyAlignment="1">
      <alignment horizontal="center" vertical="center" wrapText="1"/>
    </xf>
    <xf numFmtId="0" fontId="7" fillId="4" borderId="3"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13" xfId="0" applyFont="1" applyFill="1" applyBorder="1" applyAlignment="1">
      <alignment horizontal="center" vertical="center" wrapText="1"/>
    </xf>
    <xf numFmtId="0" fontId="9" fillId="6" borderId="15" xfId="0" applyFont="1" applyFill="1" applyBorder="1" applyAlignment="1">
      <alignment horizontal="center" vertical="top" wrapText="1"/>
    </xf>
    <xf numFmtId="0" fontId="9" fillId="6" borderId="16" xfId="0" applyFont="1" applyFill="1" applyBorder="1" applyAlignment="1">
      <alignment horizontal="center" vertical="top" wrapText="1"/>
    </xf>
    <xf numFmtId="0" fontId="9" fillId="6" borderId="17" xfId="0" applyFont="1" applyFill="1" applyBorder="1" applyAlignment="1">
      <alignment horizontal="center" vertical="top" wrapText="1"/>
    </xf>
    <xf numFmtId="0" fontId="3" fillId="0" borderId="12" xfId="1" applyFont="1" applyBorder="1" applyAlignment="1">
      <alignment horizontal="center" vertical="center" wrapText="1"/>
    </xf>
    <xf numFmtId="0" fontId="3" fillId="0" borderId="13" xfId="1" applyFont="1" applyBorder="1" applyAlignment="1">
      <alignment horizontal="center" vertical="center" wrapText="1"/>
    </xf>
    <xf numFmtId="0" fontId="9" fillId="0" borderId="7" xfId="0" applyFont="1" applyBorder="1" applyAlignment="1"/>
    <xf numFmtId="0" fontId="9" fillId="0" borderId="0" xfId="0" applyFont="1" applyAlignment="1"/>
    <xf numFmtId="0" fontId="9" fillId="0" borderId="9" xfId="0" applyFont="1" applyBorder="1" applyAlignment="1"/>
    <xf numFmtId="0" fontId="9" fillId="0" borderId="10" xfId="0" applyFont="1" applyBorder="1" applyAlignment="1"/>
  </cellXfs>
  <cellStyles count="2">
    <cellStyle name="Hyperlink" xfId="1" builtinId="8"/>
    <cellStyle name="Normal" xfId="0" builtinId="0"/>
  </cellStyles>
  <dxfs count="0"/>
  <tableStyles count="1" defaultTableStyle="TableStyleMedium2" defaultPivotStyle="PivotStyleLight16">
    <tableStyle name="Invisible" pivot="0" table="0" count="0" xr9:uid="{3BA2B47D-612E-4432-9F78-810F7B99061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110067</xdr:colOff>
      <xdr:row>0</xdr:row>
      <xdr:rowOff>146050</xdr:rowOff>
    </xdr:from>
    <xdr:to>
      <xdr:col>14</xdr:col>
      <xdr:colOff>516467</xdr:colOff>
      <xdr:row>6</xdr:row>
      <xdr:rowOff>86995</xdr:rowOff>
    </xdr:to>
    <xdr:pic>
      <xdr:nvPicPr>
        <xdr:cNvPr id="2" name="Picture 1">
          <a:extLst>
            <a:ext uri="{FF2B5EF4-FFF2-40B4-BE49-F238E27FC236}">
              <a16:creationId xmlns:a16="http://schemas.microsoft.com/office/drawing/2014/main" id="{00000000-0008-0000-0000-000002000000}"/>
            </a:ext>
            <a:ext uri="{C183D7F6-B498-43B3-948B-1728B52AA6E4}">
              <adec:decorative xmlns:adec="http://schemas.microsoft.com/office/drawing/2017/decorative" val="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34867" y="146050"/>
          <a:ext cx="1016000" cy="132524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30389</xdr:colOff>
          <xdr:row>5</xdr:row>
          <xdr:rowOff>102062</xdr:rowOff>
        </xdr:from>
        <xdr:to>
          <xdr:col>13</xdr:col>
          <xdr:colOff>328839</xdr:colOff>
          <xdr:row>8</xdr:row>
          <xdr:rowOff>146505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7583714" y="1254587"/>
              <a:ext cx="298450" cy="615943"/>
              <a:chOff x="7518400" y="1339861"/>
              <a:chExt cx="298450" cy="634991"/>
            </a:xfrm>
          </xdr:grpSpPr>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7518400" y="1756771"/>
                <a:ext cx="298450" cy="218081"/>
              </a:xfrm>
              <a:prstGeom prst="rect">
                <a:avLst/>
              </a:prstGeom>
              <a:solidFill>
                <a:srgbClr val="FF0000" mc:Ignorable="a14" a14:legacySpreadsheetColorIndex="10"/>
              </a:solidFill>
              <a:ln>
                <a:noFill/>
              </a:ln>
              <a:extLst>
                <a:ext uri="{91240B29-F687-4F45-9708-019B960494DF}">
                  <a14:hiddenLine w="9525">
                    <a:solidFill>
                      <a:srgbClr val="000000" mc:Ignorable="a14" a14:legacySpreadsheetColorIndex="64"/>
                    </a:solidFill>
                    <a:miter lim="800000"/>
                    <a:headEnd/>
                    <a:tailEnd/>
                  </a14:hiddenLine>
                </a:ext>
              </a:extLst>
            </xdr:spPr>
          </xdr:sp>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7518400" y="1339861"/>
                <a:ext cx="298450" cy="218081"/>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sp>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7518400" y="1551517"/>
                <a:ext cx="298450" cy="218081"/>
              </a:xfrm>
              <a:prstGeom prst="rect">
                <a:avLst/>
              </a:prstGeom>
              <a:solidFill>
                <a:srgbClr val="FF9900" mc:Ignorable="a14" a14:legacySpreadsheetColorIndex="52"/>
              </a:solidFill>
              <a:ln>
                <a:noFill/>
              </a:ln>
              <a:extLs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w3.org/WAI/WCAG21/quickre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hyperlink" Target="https://www.w3.org/TR/WCAG21/" TargetMode="External"/><Relationship Id="rId18" Type="http://schemas.openxmlformats.org/officeDocument/2006/relationships/hyperlink" Target="https://webaim.org/techniques/semanticstructure/" TargetMode="External"/><Relationship Id="rId26" Type="http://schemas.openxmlformats.org/officeDocument/2006/relationships/hyperlink" Target="https://www.w3.org/TR/WCAG21/" TargetMode="External"/><Relationship Id="rId39" Type="http://schemas.openxmlformats.org/officeDocument/2006/relationships/printerSettings" Target="../printerSettings/printerSettings2.bin"/><Relationship Id="rId21" Type="http://schemas.openxmlformats.org/officeDocument/2006/relationships/hyperlink" Target="https://www.w3.org/TR/WCAG21/" TargetMode="External"/><Relationship Id="rId34" Type="http://schemas.openxmlformats.org/officeDocument/2006/relationships/hyperlink" Target="https://www.w3.org/TR/WCAG21/" TargetMode="External"/><Relationship Id="rId7" Type="http://schemas.openxmlformats.org/officeDocument/2006/relationships/hyperlink" Target="https://www.w3.org/TR/WCAG21/" TargetMode="External"/><Relationship Id="rId12" Type="http://schemas.openxmlformats.org/officeDocument/2006/relationships/hyperlink" Target="https://www.w3.org/TR/WCAG21/" TargetMode="External"/><Relationship Id="rId17" Type="http://schemas.openxmlformats.org/officeDocument/2006/relationships/hyperlink" Target="https://www.w3.org/TR/WCAG21/" TargetMode="External"/><Relationship Id="rId25" Type="http://schemas.openxmlformats.org/officeDocument/2006/relationships/hyperlink" Target="https://www.w3.org/TR/WCAG21/" TargetMode="External"/><Relationship Id="rId33" Type="http://schemas.openxmlformats.org/officeDocument/2006/relationships/hyperlink" Target="https://webaim.org/standards/wcag/checklist" TargetMode="External"/><Relationship Id="rId38" Type="http://schemas.openxmlformats.org/officeDocument/2006/relationships/hyperlink" Target="https://www.w3.org/TR/WCAG21/" TargetMode="External"/><Relationship Id="rId2" Type="http://schemas.openxmlformats.org/officeDocument/2006/relationships/hyperlink" Target="https://webaim.org/techniques/alttext/" TargetMode="External"/><Relationship Id="rId16" Type="http://schemas.openxmlformats.org/officeDocument/2006/relationships/hyperlink" Target="https://www.w3.org/TR/WCAG21/" TargetMode="External"/><Relationship Id="rId20" Type="http://schemas.openxmlformats.org/officeDocument/2006/relationships/hyperlink" Target="https://webaim.org/techniques/forms/controls" TargetMode="External"/><Relationship Id="rId29" Type="http://schemas.openxmlformats.org/officeDocument/2006/relationships/hyperlink" Target="https://www.w3.org/TR/WCAG21/" TargetMode="External"/><Relationship Id="rId1" Type="http://schemas.openxmlformats.org/officeDocument/2006/relationships/hyperlink" Target="https://www.w3.org/TR/WCAG21/" TargetMode="External"/><Relationship Id="rId6" Type="http://schemas.openxmlformats.org/officeDocument/2006/relationships/hyperlink" Target="https://webaim.org/techniques/captions/" TargetMode="External"/><Relationship Id="rId11" Type="http://schemas.openxmlformats.org/officeDocument/2006/relationships/hyperlink" Target="https://www.w3.org/TR/WCAG21/" TargetMode="External"/><Relationship Id="rId24" Type="http://schemas.openxmlformats.org/officeDocument/2006/relationships/hyperlink" Target="https://www.w3.org/TR/WCAG21/" TargetMode="External"/><Relationship Id="rId32" Type="http://schemas.openxmlformats.org/officeDocument/2006/relationships/hyperlink" Target="https://www.w3.org/TR/WCAG21/" TargetMode="External"/><Relationship Id="rId37" Type="http://schemas.openxmlformats.org/officeDocument/2006/relationships/hyperlink" Target="https://www.w3.org/TR/WCAG21/" TargetMode="External"/><Relationship Id="rId5" Type="http://schemas.openxmlformats.org/officeDocument/2006/relationships/hyperlink" Target="https://webaim.org/techniques/captions/" TargetMode="External"/><Relationship Id="rId15" Type="http://schemas.openxmlformats.org/officeDocument/2006/relationships/hyperlink" Target="https://www.w3.org/TR/WCAG21/" TargetMode="External"/><Relationship Id="rId23" Type="http://schemas.openxmlformats.org/officeDocument/2006/relationships/hyperlink" Target="https://www.w3.org/TR/WCAG21/" TargetMode="External"/><Relationship Id="rId28" Type="http://schemas.openxmlformats.org/officeDocument/2006/relationships/hyperlink" Target="https://webaim.org/techniques/hypertext/" TargetMode="External"/><Relationship Id="rId36" Type="http://schemas.openxmlformats.org/officeDocument/2006/relationships/hyperlink" Target="https://www.w3.org/TR/WCAG21/" TargetMode="External"/><Relationship Id="rId10" Type="http://schemas.openxmlformats.org/officeDocument/2006/relationships/hyperlink" Target="https://www.w3.org/TR/WCAG21/" TargetMode="External"/><Relationship Id="rId19" Type="http://schemas.openxmlformats.org/officeDocument/2006/relationships/hyperlink" Target="https://webaim.org/techniques/tables/data" TargetMode="External"/><Relationship Id="rId31" Type="http://schemas.openxmlformats.org/officeDocument/2006/relationships/hyperlink" Target="https://www.w3.org/TR/WCAG21/" TargetMode="External"/><Relationship Id="rId4" Type="http://schemas.openxmlformats.org/officeDocument/2006/relationships/hyperlink" Target="https://webaim.org/techniques/frames/" TargetMode="External"/><Relationship Id="rId9" Type="http://schemas.openxmlformats.org/officeDocument/2006/relationships/hyperlink" Target="https://webaim.org/techniques/captions/" TargetMode="External"/><Relationship Id="rId14" Type="http://schemas.openxmlformats.org/officeDocument/2006/relationships/hyperlink" Target="https://www.w3.org/TR/WCAG21/" TargetMode="External"/><Relationship Id="rId22" Type="http://schemas.openxmlformats.org/officeDocument/2006/relationships/hyperlink" Target="https://webaim.org/techniques/screenreader/" TargetMode="External"/><Relationship Id="rId27" Type="http://schemas.openxmlformats.org/officeDocument/2006/relationships/hyperlink" Target="https://www.w3.org/TR/WCAG21/" TargetMode="External"/><Relationship Id="rId30" Type="http://schemas.openxmlformats.org/officeDocument/2006/relationships/hyperlink" Target="https://www.w3.org/TR/WCAG21/" TargetMode="External"/><Relationship Id="rId35" Type="http://schemas.openxmlformats.org/officeDocument/2006/relationships/hyperlink" Target="https://www.w3.org/TR/WCAG21/" TargetMode="External"/><Relationship Id="rId8" Type="http://schemas.openxmlformats.org/officeDocument/2006/relationships/hyperlink" Target="https://www.w3.org/TR/WCAG21/" TargetMode="External"/><Relationship Id="rId3" Type="http://schemas.openxmlformats.org/officeDocument/2006/relationships/hyperlink" Target="https://webaim.org/techniques/forms/control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w3.org/TR/WCAG21/" TargetMode="External"/><Relationship Id="rId13" Type="http://schemas.openxmlformats.org/officeDocument/2006/relationships/hyperlink" Target="https://www.w3.org/TR/WCAG21/" TargetMode="External"/><Relationship Id="rId18" Type="http://schemas.openxmlformats.org/officeDocument/2006/relationships/hyperlink" Target="https://www.w3.org/TR/WCAG21/" TargetMode="External"/><Relationship Id="rId3" Type="http://schemas.openxmlformats.org/officeDocument/2006/relationships/hyperlink" Target="https://www.w3.org/TR/WCAG21/" TargetMode="External"/><Relationship Id="rId21" Type="http://schemas.openxmlformats.org/officeDocument/2006/relationships/hyperlink" Target="https://www.w3.org/TR/WCAG21/" TargetMode="External"/><Relationship Id="rId7" Type="http://schemas.openxmlformats.org/officeDocument/2006/relationships/hyperlink" Target="https://www.w3.org/TR/WCAG21/" TargetMode="External"/><Relationship Id="rId12" Type="http://schemas.openxmlformats.org/officeDocument/2006/relationships/hyperlink" Target="https://www.w3.org/TR/WCAG21/" TargetMode="External"/><Relationship Id="rId17" Type="http://schemas.openxmlformats.org/officeDocument/2006/relationships/hyperlink" Target="https://www.w3.org/TR/WCAG21/" TargetMode="External"/><Relationship Id="rId2" Type="http://schemas.openxmlformats.org/officeDocument/2006/relationships/hyperlink" Target="https://webaim.org/techniques/keyboard/" TargetMode="External"/><Relationship Id="rId16" Type="http://schemas.openxmlformats.org/officeDocument/2006/relationships/hyperlink" Target="https://www.w3.org/TR/WCAG21/" TargetMode="External"/><Relationship Id="rId20" Type="http://schemas.openxmlformats.org/officeDocument/2006/relationships/hyperlink" Target="https://www.w3.org/TR/WCAG21/" TargetMode="External"/><Relationship Id="rId1" Type="http://schemas.openxmlformats.org/officeDocument/2006/relationships/hyperlink" Target="https://www.w3.org/TR/WCAG21/" TargetMode="External"/><Relationship Id="rId6" Type="http://schemas.openxmlformats.org/officeDocument/2006/relationships/hyperlink" Target="https://www.w3.org/TR/WCAG21/" TargetMode="External"/><Relationship Id="rId11" Type="http://schemas.openxmlformats.org/officeDocument/2006/relationships/hyperlink" Target="https://www.w3.org/TR/WCAG21/" TargetMode="External"/><Relationship Id="rId5" Type="http://schemas.openxmlformats.org/officeDocument/2006/relationships/hyperlink" Target="https://www.w3.org/TR/WCAG21/" TargetMode="External"/><Relationship Id="rId15" Type="http://schemas.openxmlformats.org/officeDocument/2006/relationships/hyperlink" Target="https://webaim.org/techniques/sitetools/" TargetMode="External"/><Relationship Id="rId23" Type="http://schemas.openxmlformats.org/officeDocument/2006/relationships/printerSettings" Target="../printerSettings/printerSettings3.bin"/><Relationship Id="rId10" Type="http://schemas.openxmlformats.org/officeDocument/2006/relationships/hyperlink" Target="https://webaim.org/techniques/skipnav/" TargetMode="External"/><Relationship Id="rId19" Type="http://schemas.openxmlformats.org/officeDocument/2006/relationships/hyperlink" Target="https://www.w3.org/TR/WCAG21/" TargetMode="External"/><Relationship Id="rId4" Type="http://schemas.openxmlformats.org/officeDocument/2006/relationships/hyperlink" Target="https://webaim.org/techniques/keyboard/" TargetMode="External"/><Relationship Id="rId9" Type="http://schemas.openxmlformats.org/officeDocument/2006/relationships/hyperlink" Target="https://webaim.org/articles/seizure/" TargetMode="External"/><Relationship Id="rId14" Type="http://schemas.openxmlformats.org/officeDocument/2006/relationships/hyperlink" Target="https://www.w3.org/TR/WCAG21/" TargetMode="External"/><Relationship Id="rId22" Type="http://schemas.openxmlformats.org/officeDocument/2006/relationships/hyperlink" Target="https://www.w3.org/TR/WCAG21/"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w3.org/TR/WCAG21/" TargetMode="External"/><Relationship Id="rId3" Type="http://schemas.openxmlformats.org/officeDocument/2006/relationships/hyperlink" Target="https://www.w3.org/TR/WCAG21/" TargetMode="External"/><Relationship Id="rId7" Type="http://schemas.openxmlformats.org/officeDocument/2006/relationships/hyperlink" Target="https://webaim.org/techniques/formvalidation/" TargetMode="External"/><Relationship Id="rId12" Type="http://schemas.openxmlformats.org/officeDocument/2006/relationships/printerSettings" Target="../printerSettings/printerSettings4.bin"/><Relationship Id="rId2" Type="http://schemas.openxmlformats.org/officeDocument/2006/relationships/hyperlink" Target="https://www.w3.org/TR/WCAG21/" TargetMode="External"/><Relationship Id="rId1" Type="http://schemas.openxmlformats.org/officeDocument/2006/relationships/hyperlink" Target="https://www.w3.org/TR/WCAG21/" TargetMode="External"/><Relationship Id="rId6" Type="http://schemas.openxmlformats.org/officeDocument/2006/relationships/hyperlink" Target="https://www.w3.org/TR/WCAG21/" TargetMode="External"/><Relationship Id="rId11" Type="http://schemas.openxmlformats.org/officeDocument/2006/relationships/hyperlink" Target="https://www.w3.org/TR/WCAG21/" TargetMode="External"/><Relationship Id="rId5" Type="http://schemas.openxmlformats.org/officeDocument/2006/relationships/hyperlink" Target="https://www.w3.org/TR/WCAG21/" TargetMode="External"/><Relationship Id="rId10" Type="http://schemas.openxmlformats.org/officeDocument/2006/relationships/hyperlink" Target="https://www.w3.org/TR/WCAG21/" TargetMode="External"/><Relationship Id="rId4" Type="http://schemas.openxmlformats.org/officeDocument/2006/relationships/hyperlink" Target="https://www.w3.org/TR/WCAG21/" TargetMode="External"/><Relationship Id="rId9" Type="http://schemas.openxmlformats.org/officeDocument/2006/relationships/hyperlink" Target="https://www.w3.org/TR/WCAG21/"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ww.w3.org/TR/WCAG21/" TargetMode="External"/><Relationship Id="rId2" Type="http://schemas.openxmlformats.org/officeDocument/2006/relationships/hyperlink" Target="https://www.w3.org/TR/WCAG21/" TargetMode="External"/><Relationship Id="rId1" Type="http://schemas.openxmlformats.org/officeDocument/2006/relationships/hyperlink" Target="https://www.w3.org/TR/WCAG21/"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8B62A-8C4E-472E-BECA-CAC30974862F}">
  <sheetPr codeName="Sheet1">
    <tabColor rgb="FFFFFF00"/>
  </sheetPr>
  <dimension ref="A1:P29"/>
  <sheetViews>
    <sheetView tabSelected="1" zoomScaleNormal="100" workbookViewId="0">
      <selection activeCell="A2" sqref="A2:F2"/>
    </sheetView>
  </sheetViews>
  <sheetFormatPr defaultColWidth="8.7109375" defaultRowHeight="15"/>
  <cols>
    <col min="1" max="1" width="8.7109375" style="1" customWidth="1"/>
    <col min="2" max="16384" width="8.7109375" style="1"/>
  </cols>
  <sheetData>
    <row r="1" spans="1:16">
      <c r="A1" s="13"/>
      <c r="B1" s="13"/>
      <c r="C1" s="13"/>
      <c r="D1" s="13"/>
      <c r="E1" s="13"/>
      <c r="F1" s="13"/>
      <c r="G1" s="13"/>
      <c r="H1" s="13"/>
      <c r="I1" s="13"/>
      <c r="J1" s="13"/>
      <c r="K1" s="13"/>
      <c r="L1" s="13"/>
      <c r="M1" s="13"/>
      <c r="N1" s="13"/>
      <c r="O1" s="13"/>
    </row>
    <row r="2" spans="1:16">
      <c r="A2" s="35" t="s">
        <v>0</v>
      </c>
      <c r="B2" s="35"/>
      <c r="C2" s="35"/>
      <c r="D2" s="35"/>
      <c r="E2" s="35"/>
      <c r="F2" s="35"/>
      <c r="G2" s="13"/>
      <c r="H2" s="13"/>
      <c r="I2" s="13"/>
      <c r="J2" s="13"/>
      <c r="K2" s="13"/>
      <c r="L2" s="13"/>
      <c r="M2" s="13"/>
      <c r="N2" s="13"/>
      <c r="O2" s="13"/>
    </row>
    <row r="3" spans="1:16">
      <c r="A3" s="13"/>
      <c r="B3" s="13"/>
      <c r="C3" s="13"/>
      <c r="D3" s="13"/>
      <c r="E3" s="13"/>
      <c r="F3" s="13"/>
      <c r="G3" s="13"/>
      <c r="H3" s="13"/>
      <c r="I3" s="13"/>
      <c r="J3" s="13"/>
      <c r="K3" s="13"/>
      <c r="L3" s="13"/>
      <c r="M3" s="13"/>
      <c r="N3" s="13"/>
      <c r="O3" s="13"/>
    </row>
    <row r="4" spans="1:16" ht="30.95" customHeight="1">
      <c r="A4" s="32" t="s">
        <v>1</v>
      </c>
      <c r="B4" s="32"/>
      <c r="C4" s="32"/>
      <c r="D4" s="32"/>
      <c r="E4" s="32"/>
      <c r="F4" s="32"/>
      <c r="G4" s="32"/>
      <c r="H4" s="32"/>
      <c r="I4" s="32"/>
      <c r="J4" s="32"/>
      <c r="K4" s="32"/>
      <c r="L4" s="32"/>
      <c r="M4" s="32"/>
      <c r="N4" s="20"/>
      <c r="O4" s="20"/>
      <c r="P4" s="2"/>
    </row>
    <row r="5" spans="1:16" ht="15.4" thickBot="1">
      <c r="A5" s="13"/>
      <c r="B5" s="13"/>
      <c r="C5" s="13"/>
      <c r="D5" s="13"/>
      <c r="E5" s="13"/>
      <c r="F5" s="13"/>
      <c r="G5" s="13"/>
      <c r="H5" s="13"/>
      <c r="I5" s="13"/>
      <c r="J5" s="13"/>
      <c r="K5" s="13"/>
      <c r="L5" s="13"/>
      <c r="M5" s="13"/>
      <c r="N5" s="13"/>
      <c r="O5" s="13"/>
    </row>
    <row r="6" spans="1:16">
      <c r="A6" s="36" t="s">
        <v>2</v>
      </c>
      <c r="B6" s="36"/>
      <c r="C6" s="36"/>
      <c r="D6" s="36"/>
      <c r="E6" s="36"/>
      <c r="F6" s="36"/>
      <c r="G6" s="38" t="s">
        <v>3</v>
      </c>
      <c r="H6" s="39"/>
      <c r="I6" s="39"/>
      <c r="J6" s="39"/>
      <c r="K6" s="39"/>
      <c r="L6" s="39"/>
      <c r="M6" s="21"/>
      <c r="N6" s="13"/>
      <c r="O6" s="13"/>
    </row>
    <row r="7" spans="1:16">
      <c r="A7" s="13"/>
      <c r="B7" s="13"/>
      <c r="C7" s="13"/>
      <c r="D7" s="13"/>
      <c r="E7" s="13"/>
      <c r="F7" s="13"/>
      <c r="G7" s="57" t="s">
        <v>4</v>
      </c>
      <c r="H7" s="58"/>
      <c r="I7" s="58"/>
      <c r="J7" s="58"/>
      <c r="K7" s="58"/>
      <c r="L7" s="58"/>
      <c r="M7" s="22"/>
      <c r="N7" s="13"/>
      <c r="O7" s="13"/>
    </row>
    <row r="8" spans="1:16">
      <c r="A8" s="13"/>
      <c r="B8" s="13"/>
      <c r="C8" s="13"/>
      <c r="D8" s="13"/>
      <c r="E8" s="13"/>
      <c r="F8" s="13"/>
      <c r="G8" s="57" t="s">
        <v>5</v>
      </c>
      <c r="H8" s="58"/>
      <c r="I8" s="58"/>
      <c r="J8" s="58"/>
      <c r="K8" s="58"/>
      <c r="L8" s="58"/>
      <c r="M8" s="22"/>
      <c r="N8" s="13"/>
      <c r="O8" s="13"/>
    </row>
    <row r="9" spans="1:16" ht="15.4" thickBot="1">
      <c r="A9" s="13"/>
      <c r="B9" s="13"/>
      <c r="C9" s="13"/>
      <c r="D9" s="13"/>
      <c r="E9" s="13"/>
      <c r="F9" s="13"/>
      <c r="G9" s="59" t="s">
        <v>6</v>
      </c>
      <c r="H9" s="60"/>
      <c r="I9" s="60"/>
      <c r="J9" s="60"/>
      <c r="K9" s="60"/>
      <c r="L9" s="60"/>
      <c r="M9" s="23"/>
      <c r="N9" s="13"/>
      <c r="O9" s="13"/>
    </row>
    <row r="10" spans="1:16">
      <c r="A10" s="37" t="s">
        <v>7</v>
      </c>
      <c r="B10" s="37"/>
      <c r="C10" s="37"/>
      <c r="D10" s="37"/>
      <c r="E10" s="13"/>
      <c r="F10" s="13"/>
      <c r="G10" s="13"/>
      <c r="H10" s="13"/>
      <c r="I10" s="13"/>
      <c r="J10" s="13"/>
      <c r="K10" s="13"/>
      <c r="L10" s="13"/>
      <c r="M10" s="13"/>
      <c r="N10" s="13"/>
      <c r="O10" s="13"/>
    </row>
    <row r="11" spans="1:16">
      <c r="A11" s="13" t="s">
        <v>8</v>
      </c>
      <c r="B11" s="13"/>
      <c r="C11" s="13"/>
      <c r="D11" s="13"/>
      <c r="E11" s="13"/>
      <c r="F11" s="31"/>
      <c r="G11" s="31"/>
      <c r="H11" s="31"/>
      <c r="I11" s="31"/>
      <c r="J11" s="31"/>
      <c r="K11" s="31"/>
      <c r="L11" s="31"/>
      <c r="M11" s="31"/>
      <c r="N11" s="31"/>
      <c r="O11" s="31"/>
    </row>
    <row r="12" spans="1:16">
      <c r="A12" s="13" t="s">
        <v>9</v>
      </c>
      <c r="B12" s="13"/>
      <c r="C12" s="13"/>
      <c r="D12" s="13"/>
      <c r="E12" s="13"/>
      <c r="F12" s="31"/>
      <c r="G12" s="31"/>
      <c r="H12" s="31"/>
      <c r="I12" s="31"/>
      <c r="J12" s="31"/>
      <c r="K12" s="31"/>
      <c r="L12" s="31"/>
      <c r="M12" s="31"/>
      <c r="N12" s="31"/>
      <c r="O12" s="31"/>
    </row>
    <row r="13" spans="1:16">
      <c r="A13" s="13" t="s">
        <v>10</v>
      </c>
      <c r="B13" s="13"/>
      <c r="C13" s="13"/>
      <c r="D13" s="13"/>
      <c r="E13" s="13"/>
      <c r="F13" s="33"/>
      <c r="G13" s="33"/>
      <c r="H13" s="33"/>
      <c r="I13" s="33"/>
      <c r="J13" s="33"/>
      <c r="K13" s="33"/>
      <c r="L13" s="33"/>
      <c r="M13" s="33"/>
      <c r="N13" s="33"/>
      <c r="O13" s="33"/>
    </row>
    <row r="14" spans="1:16">
      <c r="A14" s="13" t="s">
        <v>11</v>
      </c>
      <c r="B14" s="13"/>
      <c r="C14" s="13"/>
      <c r="D14" s="13"/>
      <c r="E14" s="13"/>
      <c r="F14" s="31"/>
      <c r="G14" s="31"/>
      <c r="H14" s="31"/>
      <c r="I14" s="31"/>
      <c r="J14" s="31"/>
      <c r="K14" s="31"/>
      <c r="L14" s="31"/>
      <c r="M14" s="31"/>
      <c r="N14" s="31"/>
      <c r="O14" s="31"/>
    </row>
    <row r="15" spans="1:16">
      <c r="A15" s="13"/>
      <c r="B15" s="13"/>
      <c r="C15" s="13"/>
      <c r="D15" s="13"/>
      <c r="E15" s="13"/>
      <c r="F15" s="13"/>
      <c r="G15" s="13"/>
      <c r="H15" s="13"/>
      <c r="I15" s="13"/>
      <c r="J15" s="13"/>
      <c r="K15" s="13"/>
      <c r="L15" s="13"/>
      <c r="M15" s="13"/>
      <c r="N15" s="13"/>
      <c r="O15" s="13"/>
    </row>
    <row r="16" spans="1:16" ht="15.4">
      <c r="A16" s="24" t="s">
        <v>12</v>
      </c>
      <c r="B16" s="13"/>
      <c r="C16" s="13"/>
      <c r="D16" s="25" t="s">
        <v>13</v>
      </c>
      <c r="E16" s="26" t="s">
        <v>14</v>
      </c>
      <c r="F16" s="27" t="s">
        <v>15</v>
      </c>
      <c r="G16" s="28" t="s">
        <v>16</v>
      </c>
      <c r="H16" s="13"/>
      <c r="I16" s="13"/>
      <c r="J16" s="13"/>
      <c r="K16" s="13"/>
      <c r="L16" s="3"/>
      <c r="M16" s="13"/>
      <c r="N16" s="13"/>
      <c r="O16" s="13"/>
    </row>
    <row r="17" spans="1:15">
      <c r="A17" s="34" t="s">
        <v>17</v>
      </c>
      <c r="B17" s="34"/>
      <c r="C17" s="34"/>
      <c r="D17" s="29">
        <f>SUM('B WCAG Criteria 1'!B45+'B WCAG Criteria 1'!B31+'B WCAG Criteria 1'!B16+'B WCAG Criteria 1'!B5)</f>
        <v>0</v>
      </c>
      <c r="E17" s="29">
        <f>SUM('B WCAG Criteria 1'!C45+'B WCAG Criteria 1'!C31+'B WCAG Criteria 1'!C16+'B WCAG Criteria 1'!C5)</f>
        <v>0</v>
      </c>
      <c r="F17" s="29">
        <f>SUM('B WCAG Criteria 1'!D45+'B WCAG Criteria 1'!D31+'B WCAG Criteria 1'!D16+'B WCAG Criteria 1'!D5)</f>
        <v>0</v>
      </c>
      <c r="G17" s="29">
        <f>SUM('B WCAG Criteria 1'!E45+'B WCAG Criteria 1'!E31+'B WCAG Criteria 1'!E16+'B WCAG Criteria 1'!E5)</f>
        <v>0</v>
      </c>
      <c r="H17" s="13"/>
      <c r="I17" s="13"/>
      <c r="J17" s="13"/>
      <c r="K17" s="13"/>
      <c r="L17" s="13"/>
      <c r="M17" s="13"/>
      <c r="N17" s="13"/>
      <c r="O17" s="13"/>
    </row>
    <row r="18" spans="1:15" ht="15.4">
      <c r="A18" s="34" t="s">
        <v>18</v>
      </c>
      <c r="B18" s="34"/>
      <c r="C18" s="34"/>
      <c r="D18" s="29">
        <f ca="1">'C WCAG Criteria 2'!B5+'C WCAG Criteria 2'!B13+'C WCAG Criteria 2'!B20+'C WCAG Criteria 2'!B25+'C WCAG Criteria 2'!B38</f>
        <v>0</v>
      </c>
      <c r="E18" s="29">
        <f>'C WCAG Criteria 2'!C5+'C WCAG Criteria 2'!C13+'C WCAG Criteria 2'!C20+'C WCAG Criteria 2'!C25+'C WCAG Criteria 2'!C38</f>
        <v>0</v>
      </c>
      <c r="F18" s="29">
        <f>'C WCAG Criteria 2'!D5+'C WCAG Criteria 2'!D13+'C WCAG Criteria 2'!D20+'C WCAG Criteria 2'!D25+'C WCAG Criteria 2'!D38</f>
        <v>0</v>
      </c>
      <c r="G18" s="29">
        <f>'C WCAG Criteria 2'!E5+'C WCAG Criteria 2'!E13+'C WCAG Criteria 2'!E20+'C WCAG Criteria 2'!E25+'C WCAG Criteria 2'!E38</f>
        <v>0</v>
      </c>
      <c r="H18" s="13"/>
      <c r="I18" s="13"/>
      <c r="J18" s="3"/>
      <c r="K18" s="13"/>
      <c r="L18" s="13"/>
      <c r="M18" s="13"/>
      <c r="N18" s="13"/>
      <c r="O18" s="13"/>
    </row>
    <row r="19" spans="1:15">
      <c r="A19" s="34" t="s">
        <v>19</v>
      </c>
      <c r="B19" s="34"/>
      <c r="C19" s="34"/>
      <c r="D19" s="29">
        <f>'D WCAG Criteria 3'!B5+'D WCAG Criteria 3'!B11+'D WCAG Criteria 3'!B19</f>
        <v>0</v>
      </c>
      <c r="E19" s="29">
        <f>'D WCAG Criteria 3'!C5+'D WCAG Criteria 3'!C11+'D WCAG Criteria 3'!C19</f>
        <v>0</v>
      </c>
      <c r="F19" s="29">
        <f>'D WCAG Criteria 3'!D5+'D WCAG Criteria 3'!D11+'D WCAG Criteria 3'!D19</f>
        <v>0</v>
      </c>
      <c r="G19" s="29">
        <f>'D WCAG Criteria 3'!E5+'D WCAG Criteria 3'!E11+'D WCAG Criteria 3'!E19</f>
        <v>0</v>
      </c>
      <c r="H19" s="13"/>
      <c r="I19" s="13"/>
      <c r="J19" s="13"/>
      <c r="K19" s="13"/>
      <c r="L19" s="13"/>
      <c r="M19" s="13"/>
      <c r="N19" s="13"/>
      <c r="O19" s="13"/>
    </row>
    <row r="20" spans="1:15">
      <c r="A20" s="34" t="s">
        <v>20</v>
      </c>
      <c r="B20" s="34"/>
      <c r="C20" s="34"/>
      <c r="D20" s="29">
        <f>'E WCAG Criteria 4'!B5</f>
        <v>0</v>
      </c>
      <c r="E20" s="29">
        <f>'E WCAG Criteria 4'!C5</f>
        <v>0</v>
      </c>
      <c r="F20" s="29">
        <f>'E WCAG Criteria 4'!D5</f>
        <v>0</v>
      </c>
      <c r="G20" s="29">
        <f>'E WCAG Criteria 4'!E5</f>
        <v>0</v>
      </c>
      <c r="H20" s="13"/>
      <c r="I20" s="13"/>
      <c r="J20" s="13"/>
      <c r="K20" s="13"/>
      <c r="L20" s="13"/>
      <c r="M20" s="13"/>
      <c r="N20" s="13"/>
      <c r="O20" s="13"/>
    </row>
    <row r="21" spans="1:15">
      <c r="A21" s="13"/>
      <c r="B21" s="13"/>
      <c r="C21" s="13"/>
      <c r="D21" s="13"/>
      <c r="E21" s="13"/>
      <c r="F21" s="13"/>
      <c r="G21" s="13"/>
      <c r="H21" s="13"/>
      <c r="I21" s="13"/>
      <c r="J21" s="13"/>
      <c r="K21" s="13"/>
      <c r="L21" s="13"/>
      <c r="M21" s="13"/>
      <c r="N21" s="13"/>
      <c r="O21" s="13"/>
    </row>
    <row r="22" spans="1:15">
      <c r="A22" s="24" t="s">
        <v>21</v>
      </c>
      <c r="B22" s="13"/>
      <c r="C22" s="13"/>
      <c r="D22" s="13"/>
      <c r="E22" s="13"/>
      <c r="F22" s="13"/>
      <c r="G22" s="13"/>
      <c r="H22" s="13"/>
      <c r="I22" s="13"/>
      <c r="J22" s="13"/>
      <c r="K22" s="13"/>
      <c r="L22" s="13"/>
      <c r="M22" s="13"/>
      <c r="N22" s="13"/>
      <c r="O22" s="13"/>
    </row>
    <row r="23" spans="1:15">
      <c r="A23" s="13" t="s">
        <v>22</v>
      </c>
      <c r="B23" s="13"/>
      <c r="C23" s="13"/>
      <c r="D23" s="13"/>
      <c r="E23" s="13"/>
      <c r="F23" s="13"/>
      <c r="G23" s="13"/>
      <c r="H23" s="13"/>
      <c r="I23" s="13"/>
      <c r="J23" s="13"/>
      <c r="K23" s="13"/>
      <c r="L23" s="13"/>
      <c r="M23" s="13"/>
      <c r="N23" s="13"/>
      <c r="O23" s="13"/>
    </row>
    <row r="24" spans="1:15">
      <c r="A24" s="30">
        <v>1</v>
      </c>
      <c r="B24" s="31"/>
      <c r="C24" s="31"/>
      <c r="D24" s="31"/>
      <c r="E24" s="31"/>
      <c r="F24" s="31"/>
      <c r="G24" s="31"/>
      <c r="H24" s="31"/>
      <c r="I24" s="31"/>
      <c r="J24" s="31"/>
      <c r="K24" s="31"/>
      <c r="L24" s="31"/>
      <c r="M24" s="31"/>
      <c r="N24" s="31"/>
      <c r="O24" s="31"/>
    </row>
    <row r="25" spans="1:15">
      <c r="A25" s="30">
        <v>2</v>
      </c>
      <c r="B25" s="31"/>
      <c r="C25" s="31"/>
      <c r="D25" s="31"/>
      <c r="E25" s="31"/>
      <c r="F25" s="31"/>
      <c r="G25" s="31"/>
      <c r="H25" s="31"/>
      <c r="I25" s="31"/>
      <c r="J25" s="31"/>
      <c r="K25" s="31"/>
      <c r="L25" s="31"/>
      <c r="M25" s="31"/>
      <c r="N25" s="31"/>
      <c r="O25" s="31"/>
    </row>
    <row r="26" spans="1:15">
      <c r="A26" s="30">
        <v>3</v>
      </c>
      <c r="B26" s="31"/>
      <c r="C26" s="31"/>
      <c r="D26" s="31"/>
      <c r="E26" s="31"/>
      <c r="F26" s="31"/>
      <c r="G26" s="31"/>
      <c r="H26" s="31"/>
      <c r="I26" s="31"/>
      <c r="J26" s="31"/>
      <c r="K26" s="31"/>
      <c r="L26" s="31"/>
      <c r="M26" s="31"/>
      <c r="N26" s="31"/>
      <c r="O26" s="31"/>
    </row>
    <row r="27" spans="1:15">
      <c r="A27" s="30">
        <v>4</v>
      </c>
      <c r="B27" s="31"/>
      <c r="C27" s="31"/>
      <c r="D27" s="31"/>
      <c r="E27" s="31"/>
      <c r="F27" s="31"/>
      <c r="G27" s="31"/>
      <c r="H27" s="31"/>
      <c r="I27" s="31"/>
      <c r="J27" s="31"/>
      <c r="K27" s="31"/>
      <c r="L27" s="31"/>
      <c r="M27" s="31"/>
      <c r="N27" s="31"/>
      <c r="O27" s="31"/>
    </row>
    <row r="28" spans="1:15">
      <c r="A28" s="30">
        <v>5</v>
      </c>
      <c r="B28" s="31"/>
      <c r="C28" s="31"/>
      <c r="D28" s="31"/>
      <c r="E28" s="31"/>
      <c r="F28" s="31"/>
      <c r="G28" s="31"/>
      <c r="H28" s="31"/>
      <c r="I28" s="31"/>
      <c r="J28" s="31"/>
      <c r="K28" s="31"/>
      <c r="L28" s="31"/>
      <c r="M28" s="31"/>
      <c r="N28" s="31"/>
      <c r="O28" s="31"/>
    </row>
    <row r="29" spans="1:15">
      <c r="A29" s="13"/>
      <c r="B29" s="13"/>
      <c r="C29" s="13"/>
      <c r="D29" s="13"/>
      <c r="E29" s="13"/>
      <c r="F29" s="13"/>
      <c r="G29" s="13"/>
      <c r="H29" s="13"/>
      <c r="I29" s="13"/>
      <c r="J29" s="13"/>
      <c r="K29" s="13"/>
      <c r="L29" s="13"/>
      <c r="M29" s="13"/>
      <c r="N29" s="13"/>
      <c r="O29" s="13"/>
    </row>
  </sheetData>
  <mergeCells count="21">
    <mergeCell ref="A2:F2"/>
    <mergeCell ref="A6:F6"/>
    <mergeCell ref="A10:D10"/>
    <mergeCell ref="B24:O24"/>
    <mergeCell ref="B25:O25"/>
    <mergeCell ref="G6:L6"/>
    <mergeCell ref="G7:L7"/>
    <mergeCell ref="G8:L8"/>
    <mergeCell ref="G9:L9"/>
    <mergeCell ref="A17:C17"/>
    <mergeCell ref="A18:C18"/>
    <mergeCell ref="B26:O26"/>
    <mergeCell ref="B27:O27"/>
    <mergeCell ref="B28:O28"/>
    <mergeCell ref="A4:M4"/>
    <mergeCell ref="F11:O11"/>
    <mergeCell ref="F12:O12"/>
    <mergeCell ref="F13:O13"/>
    <mergeCell ref="F14:O14"/>
    <mergeCell ref="A19:C19"/>
    <mergeCell ref="A20:C20"/>
  </mergeCells>
  <hyperlinks>
    <hyperlink ref="A6" r:id="rId1" xr:uid="{4FCF0921-68E3-49C9-A39B-F73BD724DB7B}"/>
  </hyperlinks>
  <pageMargins left="0.7" right="0.7" top="0.75" bottom="0.75" header="0.3" footer="0.3"/>
  <pageSetup paperSize="9" orientation="landscape" horizontalDpi="1200" verticalDpi="1200" r:id="rId2"/>
  <headerFooter>
    <oddHeader>&amp;LCPS/ DTS/ ITA&amp;C&amp;A&amp;R&amp;F</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2051" r:id="rId5" name="Check Box 3">
              <controlPr defaultSize="0" autoFill="0" autoLine="0" autoPict="0">
                <anchor moveWithCells="1">
                  <from>
                    <xdr:col>13</xdr:col>
                    <xdr:colOff>30389</xdr:colOff>
                    <xdr:row>7</xdr:row>
                    <xdr:rowOff>125466</xdr:rowOff>
                  </from>
                  <to>
                    <xdr:col>13</xdr:col>
                    <xdr:colOff>328839</xdr:colOff>
                    <xdr:row>8</xdr:row>
                    <xdr:rowOff>146505</xdr:rowOff>
                  </to>
                </anchor>
              </controlPr>
            </control>
          </mc:Choice>
        </mc:AlternateContent>
        <mc:AlternateContent xmlns:mc="http://schemas.openxmlformats.org/markup-compatibility/2006">
          <mc:Choice Requires="x14">
            <control shapeId="2056" r:id="rId6" name="Check Box 8">
              <controlPr defaultSize="0" autoFill="0" autoLine="0" autoPict="0">
                <anchor moveWithCells="1">
                  <from>
                    <xdr:col>13</xdr:col>
                    <xdr:colOff>30389</xdr:colOff>
                    <xdr:row>5</xdr:row>
                    <xdr:rowOff>102062</xdr:rowOff>
                  </from>
                  <to>
                    <xdr:col>13</xdr:col>
                    <xdr:colOff>328839</xdr:colOff>
                    <xdr:row>6</xdr:row>
                    <xdr:rowOff>123101</xdr:rowOff>
                  </to>
                </anchor>
              </controlPr>
            </control>
          </mc:Choice>
        </mc:AlternateContent>
        <mc:AlternateContent xmlns:mc="http://schemas.openxmlformats.org/markup-compatibility/2006">
          <mc:Choice Requires="x14">
            <control shapeId="2055" r:id="rId7" name="Check Box 7">
              <controlPr defaultSize="0" autoFill="0" autoLine="0" autoPict="0">
                <anchor moveWithCells="1">
                  <from>
                    <xdr:col>13</xdr:col>
                    <xdr:colOff>30389</xdr:colOff>
                    <xdr:row>6</xdr:row>
                    <xdr:rowOff>116869</xdr:rowOff>
                  </from>
                  <to>
                    <xdr:col>13</xdr:col>
                    <xdr:colOff>328839</xdr:colOff>
                    <xdr:row>7</xdr:row>
                    <xdr:rowOff>137908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7052F-46F1-48D7-8F01-A052A1AC4857}">
  <sheetPr codeName="Sheet2">
    <tabColor rgb="FFFFFF00"/>
  </sheetPr>
  <dimension ref="A1:E63"/>
  <sheetViews>
    <sheetView zoomScaleNormal="100" workbookViewId="0">
      <selection activeCell="A7" sqref="A7:A13"/>
    </sheetView>
  </sheetViews>
  <sheetFormatPr defaultColWidth="8.7109375" defaultRowHeight="15"/>
  <cols>
    <col min="1" max="1" width="17.42578125" style="1" customWidth="1"/>
    <col min="2" max="2" width="34.5703125" style="1" customWidth="1"/>
    <col min="3" max="3" width="17.28515625" style="1" customWidth="1"/>
    <col min="4" max="5" width="34.85546875" style="1" customWidth="1"/>
    <col min="6" max="16384" width="8.7109375" style="1"/>
  </cols>
  <sheetData>
    <row r="1" spans="1:5" ht="57" customHeight="1" thickBot="1">
      <c r="A1" s="40" t="s">
        <v>23</v>
      </c>
      <c r="B1" s="40"/>
      <c r="C1" s="40"/>
      <c r="D1" s="40"/>
      <c r="E1" s="40"/>
    </row>
    <row r="2" spans="1:5" ht="26.1" customHeight="1" thickBot="1">
      <c r="A2" s="41" t="s">
        <v>24</v>
      </c>
      <c r="B2" s="41"/>
      <c r="C2" s="41"/>
      <c r="D2" s="41"/>
      <c r="E2" s="41"/>
    </row>
    <row r="3" spans="1:5" ht="30.95" customHeight="1" thickBot="1">
      <c r="A3" s="42" t="s">
        <v>25</v>
      </c>
      <c r="B3" s="42"/>
      <c r="C3" s="42"/>
      <c r="D3" s="42"/>
      <c r="E3" s="42"/>
    </row>
    <row r="4" spans="1:5" ht="15.4" thickBot="1">
      <c r="A4" s="50" t="s">
        <v>26</v>
      </c>
      <c r="B4" s="9" t="s">
        <v>27</v>
      </c>
      <c r="C4" s="9" t="s">
        <v>28</v>
      </c>
      <c r="D4" s="9" t="s">
        <v>29</v>
      </c>
      <c r="E4" s="9" t="s">
        <v>30</v>
      </c>
    </row>
    <row r="5" spans="1:5" ht="15.4" thickBot="1">
      <c r="A5" s="51"/>
      <c r="B5" s="9">
        <f>COUNTIF($C$7:$C$13,B4)</f>
        <v>0</v>
      </c>
      <c r="C5" s="9">
        <f>COUNTIF($C$7:$C$13,C4)</f>
        <v>0</v>
      </c>
      <c r="D5" s="9">
        <f>COUNTIF($C$7:$C$13,D4)</f>
        <v>0</v>
      </c>
      <c r="E5" s="9">
        <f>COUNTIF($C$7:$C$13,E4)</f>
        <v>0</v>
      </c>
    </row>
    <row r="6" spans="1:5" ht="28.7" thickBot="1">
      <c r="A6" s="4" t="s">
        <v>31</v>
      </c>
      <c r="B6" s="4" t="s">
        <v>32</v>
      </c>
      <c r="C6" s="4" t="s">
        <v>33</v>
      </c>
      <c r="D6" s="4" t="s">
        <v>34</v>
      </c>
      <c r="E6" s="4" t="s">
        <v>35</v>
      </c>
    </row>
    <row r="7" spans="1:5" ht="57" thickBot="1">
      <c r="A7" s="43" t="s">
        <v>36</v>
      </c>
      <c r="B7" s="14" t="s">
        <v>37</v>
      </c>
      <c r="C7" s="15"/>
      <c r="D7" s="10"/>
      <c r="E7" s="10"/>
    </row>
    <row r="8" spans="1:5" ht="85.35" thickBot="1">
      <c r="A8" s="44"/>
      <c r="B8" s="10" t="s">
        <v>38</v>
      </c>
      <c r="C8" s="15"/>
      <c r="D8" s="10"/>
      <c r="E8" s="10"/>
    </row>
    <row r="9" spans="1:5" ht="42.95" thickBot="1">
      <c r="A9" s="44"/>
      <c r="B9" s="10" t="s">
        <v>39</v>
      </c>
      <c r="C9" s="15"/>
      <c r="D9" s="10"/>
      <c r="E9" s="10"/>
    </row>
    <row r="10" spans="1:5" ht="28.7" thickBot="1">
      <c r="A10" s="44"/>
      <c r="B10" s="10" t="s">
        <v>40</v>
      </c>
      <c r="C10" s="15"/>
      <c r="D10" s="10"/>
      <c r="E10" s="10"/>
    </row>
    <row r="11" spans="1:5" ht="28.7" thickBot="1">
      <c r="A11" s="44"/>
      <c r="B11" s="14" t="s">
        <v>41</v>
      </c>
      <c r="C11" s="15"/>
      <c r="D11" s="10"/>
      <c r="E11" s="10"/>
    </row>
    <row r="12" spans="1:5" ht="28.7" thickBot="1">
      <c r="A12" s="44"/>
      <c r="B12" s="10" t="s">
        <v>42</v>
      </c>
      <c r="C12" s="15"/>
      <c r="D12" s="10"/>
      <c r="E12" s="10"/>
    </row>
    <row r="13" spans="1:5" ht="28.7" thickBot="1">
      <c r="A13" s="45"/>
      <c r="B13" s="16" t="s">
        <v>43</v>
      </c>
      <c r="C13" s="17"/>
      <c r="D13" s="12"/>
      <c r="E13" s="12"/>
    </row>
    <row r="14" spans="1:5" ht="31.5" customHeight="1" thickBot="1">
      <c r="A14" s="49" t="s">
        <v>44</v>
      </c>
      <c r="B14" s="49"/>
      <c r="C14" s="49"/>
      <c r="D14" s="49"/>
      <c r="E14" s="49"/>
    </row>
    <row r="15" spans="1:5" ht="15.4" thickBot="1">
      <c r="A15" s="50" t="s">
        <v>26</v>
      </c>
      <c r="B15" s="9" t="s">
        <v>27</v>
      </c>
      <c r="C15" s="9" t="s">
        <v>28</v>
      </c>
      <c r="D15" s="9" t="s">
        <v>29</v>
      </c>
      <c r="E15" s="9" t="s">
        <v>30</v>
      </c>
    </row>
    <row r="16" spans="1:5" ht="15.4" thickBot="1">
      <c r="A16" s="51"/>
      <c r="B16" s="9">
        <f>COUNTIF($C$18:$C$28,B15)</f>
        <v>0</v>
      </c>
      <c r="C16" s="9">
        <f>COUNTIF($C$18:$C$28,C15)</f>
        <v>0</v>
      </c>
      <c r="D16" s="9">
        <f>COUNTIF($C$18:$C$28,D15)</f>
        <v>0</v>
      </c>
      <c r="E16" s="9">
        <f>COUNTIF($C$18:$C$28,E15)</f>
        <v>0</v>
      </c>
    </row>
    <row r="17" spans="1:5" ht="28.7" thickBot="1">
      <c r="A17" s="4" t="s">
        <v>31</v>
      </c>
      <c r="B17" s="4" t="s">
        <v>32</v>
      </c>
      <c r="C17" s="4" t="s">
        <v>33</v>
      </c>
      <c r="D17" s="4" t="s">
        <v>34</v>
      </c>
      <c r="E17" s="4" t="s">
        <v>35</v>
      </c>
    </row>
    <row r="18" spans="1:5" ht="42.95" thickBot="1">
      <c r="A18" s="43" t="s">
        <v>45</v>
      </c>
      <c r="B18" s="14" t="s">
        <v>46</v>
      </c>
      <c r="C18" s="15"/>
      <c r="D18" s="10"/>
      <c r="E18" s="10"/>
    </row>
    <row r="19" spans="1:5" ht="57" thickBot="1">
      <c r="A19" s="43"/>
      <c r="B19" s="14" t="s">
        <v>47</v>
      </c>
      <c r="C19" s="15"/>
      <c r="D19" s="10"/>
      <c r="E19" s="10"/>
    </row>
    <row r="20" spans="1:5" ht="42.95" thickBot="1">
      <c r="A20" s="8" t="s">
        <v>48</v>
      </c>
      <c r="B20" s="14" t="s">
        <v>49</v>
      </c>
      <c r="C20" s="15"/>
      <c r="D20" s="10"/>
      <c r="E20" s="10"/>
    </row>
    <row r="21" spans="1:5" ht="71.099999999999994" thickBot="1">
      <c r="A21" s="8" t="s">
        <v>50</v>
      </c>
      <c r="B21" s="10" t="s">
        <v>51</v>
      </c>
      <c r="C21" s="15"/>
      <c r="D21" s="10"/>
      <c r="E21" s="10"/>
    </row>
    <row r="22" spans="1:5" ht="57" thickBot="1">
      <c r="A22" s="8" t="s">
        <v>52</v>
      </c>
      <c r="B22" s="10" t="s">
        <v>53</v>
      </c>
      <c r="C22" s="15"/>
      <c r="D22" s="10"/>
      <c r="E22" s="10"/>
    </row>
    <row r="23" spans="1:5" ht="57" thickBot="1">
      <c r="A23" s="43" t="s">
        <v>54</v>
      </c>
      <c r="B23" s="10" t="s">
        <v>55</v>
      </c>
      <c r="C23" s="15"/>
      <c r="D23" s="10"/>
      <c r="E23" s="10"/>
    </row>
    <row r="24" spans="1:5" ht="57" thickBot="1">
      <c r="A24" s="43"/>
      <c r="B24" s="10" t="s">
        <v>56</v>
      </c>
      <c r="C24" s="15"/>
      <c r="D24" s="10"/>
      <c r="E24" s="10"/>
    </row>
    <row r="25" spans="1:5" ht="57" thickBot="1">
      <c r="A25" s="8" t="s">
        <v>57</v>
      </c>
      <c r="B25" s="10" t="s">
        <v>58</v>
      </c>
      <c r="C25" s="15"/>
      <c r="D25" s="10"/>
      <c r="E25" s="10"/>
    </row>
    <row r="26" spans="1:5" ht="85.35" thickBot="1">
      <c r="A26" s="8" t="s">
        <v>59</v>
      </c>
      <c r="B26" s="10" t="s">
        <v>60</v>
      </c>
      <c r="C26" s="15"/>
      <c r="D26" s="10"/>
      <c r="E26" s="10"/>
    </row>
    <row r="27" spans="1:5" ht="71.099999999999994" thickBot="1">
      <c r="A27" s="8" t="s">
        <v>61</v>
      </c>
      <c r="B27" s="10" t="s">
        <v>62</v>
      </c>
      <c r="C27" s="15"/>
      <c r="D27" s="10"/>
      <c r="E27" s="10"/>
    </row>
    <row r="28" spans="1:5" ht="42.95" thickBot="1">
      <c r="A28" s="8" t="s">
        <v>63</v>
      </c>
      <c r="B28" s="10" t="s">
        <v>64</v>
      </c>
      <c r="C28" s="15"/>
      <c r="D28" s="10"/>
      <c r="E28" s="10"/>
    </row>
    <row r="29" spans="1:5" ht="30.95" customHeight="1" thickBot="1">
      <c r="A29" s="49" t="s">
        <v>65</v>
      </c>
      <c r="B29" s="49"/>
      <c r="C29" s="49"/>
      <c r="D29" s="49"/>
      <c r="E29" s="49"/>
    </row>
    <row r="30" spans="1:5" ht="15.4" thickBot="1">
      <c r="A30" s="50" t="s">
        <v>26</v>
      </c>
      <c r="B30" s="9" t="s">
        <v>27</v>
      </c>
      <c r="C30" s="9" t="s">
        <v>28</v>
      </c>
      <c r="D30" s="9" t="s">
        <v>29</v>
      </c>
      <c r="E30" s="9" t="s">
        <v>30</v>
      </c>
    </row>
    <row r="31" spans="1:5" ht="15.4" thickBot="1">
      <c r="A31" s="51"/>
      <c r="B31" s="9">
        <f>COUNTIF($C$33:$C$42,B30)</f>
        <v>0</v>
      </c>
      <c r="C31" s="9">
        <f>COUNTIF($C$33:$C$42,C30)</f>
        <v>0</v>
      </c>
      <c r="D31" s="9">
        <f>COUNTIF($C$33:$C$42,D30)</f>
        <v>0</v>
      </c>
      <c r="E31" s="9">
        <f>COUNTIF($C$33:$C$42,E30)</f>
        <v>0</v>
      </c>
    </row>
    <row r="32" spans="1:5" ht="28.7" thickBot="1">
      <c r="A32" s="4" t="s">
        <v>31</v>
      </c>
      <c r="B32" s="4" t="s">
        <v>32</v>
      </c>
      <c r="C32" s="4" t="s">
        <v>33</v>
      </c>
      <c r="D32" s="4" t="s">
        <v>34</v>
      </c>
      <c r="E32" s="4" t="s">
        <v>35</v>
      </c>
    </row>
    <row r="33" spans="1:5" ht="127.7" thickBot="1">
      <c r="A33" s="46" t="s">
        <v>66</v>
      </c>
      <c r="B33" s="14" t="s">
        <v>67</v>
      </c>
      <c r="C33" s="15"/>
      <c r="D33" s="10"/>
      <c r="E33" s="10" t="s">
        <v>68</v>
      </c>
    </row>
    <row r="34" spans="1:5" ht="71.099999999999994" thickBot="1">
      <c r="A34" s="47"/>
      <c r="B34" s="14" t="s">
        <v>69</v>
      </c>
      <c r="C34" s="15"/>
      <c r="D34" s="10"/>
      <c r="E34" s="10"/>
    </row>
    <row r="35" spans="1:5" ht="85.35" thickBot="1">
      <c r="A35" s="48"/>
      <c r="B35" s="14" t="s">
        <v>70</v>
      </c>
      <c r="C35" s="15"/>
      <c r="D35" s="10"/>
      <c r="E35" s="10"/>
    </row>
    <row r="36" spans="1:5" ht="42.95" thickBot="1">
      <c r="A36" s="8" t="s">
        <v>71</v>
      </c>
      <c r="B36" s="14" t="s">
        <v>72</v>
      </c>
      <c r="C36" s="15"/>
      <c r="D36" s="10"/>
      <c r="E36" s="10"/>
    </row>
    <row r="37" spans="1:5" ht="71.099999999999994" thickBot="1">
      <c r="A37" s="43" t="s">
        <v>73</v>
      </c>
      <c r="B37" s="10" t="s">
        <v>74</v>
      </c>
      <c r="C37" s="15"/>
      <c r="D37" s="10"/>
      <c r="E37" s="10"/>
    </row>
    <row r="38" spans="1:5" ht="42.95" thickBot="1">
      <c r="A38" s="43"/>
      <c r="B38" s="10" t="s">
        <v>75</v>
      </c>
      <c r="C38" s="15"/>
      <c r="D38" s="10"/>
      <c r="E38" s="10"/>
    </row>
    <row r="39" spans="1:5" ht="57" thickBot="1">
      <c r="A39" s="8" t="s">
        <v>76</v>
      </c>
      <c r="B39" s="10" t="s">
        <v>77</v>
      </c>
      <c r="C39" s="15"/>
      <c r="D39" s="10"/>
      <c r="E39" s="10"/>
    </row>
    <row r="40" spans="1:5" ht="57" thickBot="1">
      <c r="A40" s="18" t="s">
        <v>78</v>
      </c>
      <c r="B40" s="19" t="s">
        <v>79</v>
      </c>
      <c r="C40" s="15"/>
      <c r="D40" s="10"/>
      <c r="E40" s="10"/>
    </row>
    <row r="41" spans="1:5" ht="28.7" thickBot="1">
      <c r="A41" s="43" t="s">
        <v>80</v>
      </c>
      <c r="B41" s="11" t="s">
        <v>81</v>
      </c>
      <c r="C41" s="15"/>
      <c r="D41" s="10"/>
      <c r="E41" s="10"/>
    </row>
    <row r="42" spans="1:5" ht="57" thickBot="1">
      <c r="A42" s="43"/>
      <c r="B42" s="11" t="s">
        <v>82</v>
      </c>
      <c r="C42" s="15"/>
      <c r="D42" s="10"/>
      <c r="E42" s="10"/>
    </row>
    <row r="43" spans="1:5" ht="30.95" customHeight="1" thickBot="1">
      <c r="A43" s="49" t="s">
        <v>83</v>
      </c>
      <c r="B43" s="49"/>
      <c r="C43" s="49"/>
      <c r="D43" s="49"/>
      <c r="E43" s="49"/>
    </row>
    <row r="44" spans="1:5" ht="15.4" thickBot="1">
      <c r="A44" s="50" t="s">
        <v>26</v>
      </c>
      <c r="B44" s="9" t="s">
        <v>27</v>
      </c>
      <c r="C44" s="9" t="s">
        <v>28</v>
      </c>
      <c r="D44" s="9" t="s">
        <v>29</v>
      </c>
      <c r="E44" s="9" t="s">
        <v>30</v>
      </c>
    </row>
    <row r="45" spans="1:5" ht="15.4" thickBot="1">
      <c r="A45" s="51"/>
      <c r="B45" s="9">
        <f>COUNTIF($C$47:$C$63,B44)</f>
        <v>0</v>
      </c>
      <c r="C45" s="9">
        <f>COUNTIF($C$47:$C$63,C44)</f>
        <v>0</v>
      </c>
      <c r="D45" s="9">
        <f>COUNTIF($C$47:$C$63,D44)</f>
        <v>0</v>
      </c>
      <c r="E45" s="9">
        <f>COUNTIF($C$47:$C$63,E44)</f>
        <v>0</v>
      </c>
    </row>
    <row r="46" spans="1:5" ht="28.7" thickBot="1">
      <c r="A46" s="4" t="s">
        <v>31</v>
      </c>
      <c r="B46" s="4" t="s">
        <v>32</v>
      </c>
      <c r="C46" s="4" t="s">
        <v>33</v>
      </c>
      <c r="D46" s="4" t="s">
        <v>34</v>
      </c>
      <c r="E46" s="4" t="s">
        <v>35</v>
      </c>
    </row>
    <row r="47" spans="1:5" ht="42.95" thickBot="1">
      <c r="A47" s="46" t="s">
        <v>84</v>
      </c>
      <c r="B47" s="10" t="s">
        <v>85</v>
      </c>
      <c r="C47" s="15"/>
      <c r="D47" s="10"/>
      <c r="E47" s="10"/>
    </row>
    <row r="48" spans="1:5" ht="127.7" thickBot="1">
      <c r="A48" s="48"/>
      <c r="B48" s="14" t="s">
        <v>86</v>
      </c>
      <c r="C48" s="15"/>
      <c r="D48" s="10"/>
      <c r="E48" s="10" t="s">
        <v>87</v>
      </c>
    </row>
    <row r="49" spans="1:5" ht="57" thickBot="1">
      <c r="A49" s="8" t="s">
        <v>88</v>
      </c>
      <c r="B49" s="10" t="s">
        <v>89</v>
      </c>
      <c r="C49" s="15"/>
      <c r="D49" s="10"/>
      <c r="E49" s="10"/>
    </row>
    <row r="50" spans="1:5" ht="47.1" customHeight="1" thickBot="1">
      <c r="A50" s="46" t="s">
        <v>90</v>
      </c>
      <c r="B50" s="10" t="s">
        <v>91</v>
      </c>
      <c r="C50" s="15"/>
      <c r="D50" s="10"/>
      <c r="E50" s="10" t="s">
        <v>92</v>
      </c>
    </row>
    <row r="51" spans="1:5" ht="57" thickBot="1">
      <c r="A51" s="48"/>
      <c r="B51" s="10" t="s">
        <v>93</v>
      </c>
      <c r="C51" s="15"/>
      <c r="D51" s="10"/>
      <c r="E51" s="10" t="s">
        <v>92</v>
      </c>
    </row>
    <row r="52" spans="1:5" ht="71.099999999999994" thickBot="1">
      <c r="A52" s="8" t="s">
        <v>94</v>
      </c>
      <c r="B52" s="14" t="s">
        <v>95</v>
      </c>
      <c r="C52" s="15"/>
      <c r="D52" s="10"/>
      <c r="E52" s="10"/>
    </row>
    <row r="53" spans="1:5" ht="42.95" thickBot="1">
      <c r="A53" s="8" t="s">
        <v>96</v>
      </c>
      <c r="B53" s="10" t="s">
        <v>97</v>
      </c>
      <c r="C53" s="15"/>
      <c r="D53" s="10"/>
      <c r="E53" s="10"/>
    </row>
    <row r="54" spans="1:5" ht="127.7" thickBot="1">
      <c r="A54" s="46" t="s">
        <v>98</v>
      </c>
      <c r="B54" s="10" t="s">
        <v>99</v>
      </c>
      <c r="C54" s="15"/>
      <c r="D54" s="10"/>
      <c r="E54" s="10"/>
    </row>
    <row r="55" spans="1:5" ht="57" thickBot="1">
      <c r="A55" s="48"/>
      <c r="B55" s="10" t="s">
        <v>100</v>
      </c>
      <c r="C55" s="15"/>
      <c r="D55" s="10"/>
      <c r="E55" s="10"/>
    </row>
    <row r="56" spans="1:5" ht="113.65" thickBot="1">
      <c r="A56" s="46" t="s">
        <v>101</v>
      </c>
      <c r="B56" s="10" t="s">
        <v>102</v>
      </c>
      <c r="C56" s="15"/>
      <c r="D56" s="10"/>
      <c r="E56" s="10" t="s">
        <v>92</v>
      </c>
    </row>
    <row r="57" spans="1:5" ht="57" thickBot="1">
      <c r="A57" s="48"/>
      <c r="B57" s="10" t="s">
        <v>103</v>
      </c>
      <c r="C57" s="15"/>
      <c r="D57" s="10"/>
      <c r="E57" s="10" t="s">
        <v>92</v>
      </c>
    </row>
    <row r="58" spans="1:5" ht="99.4" thickBot="1">
      <c r="A58" s="46" t="s">
        <v>104</v>
      </c>
      <c r="B58" s="10" t="s">
        <v>105</v>
      </c>
      <c r="C58" s="15"/>
      <c r="D58" s="10"/>
      <c r="E58" s="10"/>
    </row>
    <row r="59" spans="1:5" ht="42.95" thickBot="1">
      <c r="A59" s="48"/>
      <c r="B59" s="10" t="s">
        <v>106</v>
      </c>
      <c r="C59" s="15"/>
      <c r="D59" s="10"/>
      <c r="E59" s="10"/>
    </row>
    <row r="60" spans="1:5" ht="48.95" customHeight="1" thickBot="1">
      <c r="A60" s="46" t="s">
        <v>107</v>
      </c>
      <c r="B60" s="10" t="s">
        <v>108</v>
      </c>
      <c r="C60" s="52"/>
      <c r="D60" s="53"/>
      <c r="E60" s="54"/>
    </row>
    <row r="61" spans="1:5" ht="99.4" thickBot="1">
      <c r="A61" s="47"/>
      <c r="B61" s="10" t="s">
        <v>109</v>
      </c>
      <c r="C61" s="15"/>
      <c r="D61" s="10"/>
      <c r="E61" s="10"/>
    </row>
    <row r="62" spans="1:5" ht="42.95" thickBot="1">
      <c r="A62" s="47"/>
      <c r="B62" s="10" t="s">
        <v>110</v>
      </c>
      <c r="C62" s="15"/>
      <c r="D62" s="10"/>
      <c r="E62" s="10"/>
    </row>
    <row r="63" spans="1:5" ht="85.35" thickBot="1">
      <c r="A63" s="48"/>
      <c r="B63" s="10" t="s">
        <v>111</v>
      </c>
      <c r="C63" s="15"/>
      <c r="D63" s="10"/>
      <c r="E63" s="10"/>
    </row>
  </sheetData>
  <mergeCells count="23">
    <mergeCell ref="C60:E60"/>
    <mergeCell ref="A50:A51"/>
    <mergeCell ref="A54:A55"/>
    <mergeCell ref="A56:A57"/>
    <mergeCell ref="A58:A59"/>
    <mergeCell ref="A60:A63"/>
    <mergeCell ref="A37:A38"/>
    <mergeCell ref="A41:A42"/>
    <mergeCell ref="A43:E43"/>
    <mergeCell ref="A44:A45"/>
    <mergeCell ref="A47:A48"/>
    <mergeCell ref="A1:E1"/>
    <mergeCell ref="A2:E2"/>
    <mergeCell ref="A3:E3"/>
    <mergeCell ref="A7:A13"/>
    <mergeCell ref="A33:A35"/>
    <mergeCell ref="A23:A24"/>
    <mergeCell ref="A29:E29"/>
    <mergeCell ref="A4:A5"/>
    <mergeCell ref="A15:A16"/>
    <mergeCell ref="A30:A31"/>
    <mergeCell ref="A18:A19"/>
    <mergeCell ref="A14:E14"/>
  </mergeCells>
  <conditionalFormatting sqref="C7:C13">
    <cfRule type="iconSet" priority="6">
      <iconSet iconSet="4TrafficLights">
        <cfvo type="percent" val="0"/>
        <cfvo type="percent" val="25"/>
        <cfvo type="percent" val="50"/>
        <cfvo type="percent" val="75"/>
      </iconSet>
    </cfRule>
  </conditionalFormatting>
  <conditionalFormatting sqref="C18">
    <cfRule type="iconSet" priority="5">
      <iconSet iconSet="4TrafficLights">
        <cfvo type="percent" val="0"/>
        <cfvo type="percent" val="25"/>
        <cfvo type="percent" val="50"/>
        <cfvo type="percent" val="75"/>
      </iconSet>
    </cfRule>
  </conditionalFormatting>
  <conditionalFormatting sqref="C19:C21">
    <cfRule type="iconSet" priority="4">
      <iconSet iconSet="4TrafficLights">
        <cfvo type="percent" val="0"/>
        <cfvo type="percent" val="25"/>
        <cfvo type="percent" val="50"/>
        <cfvo type="percent" val="75"/>
      </iconSet>
    </cfRule>
  </conditionalFormatting>
  <conditionalFormatting sqref="C22:C28">
    <cfRule type="iconSet" priority="3">
      <iconSet iconSet="4TrafficLights">
        <cfvo type="percent" val="0"/>
        <cfvo type="percent" val="25"/>
        <cfvo type="percent" val="50"/>
        <cfvo type="percent" val="75"/>
      </iconSet>
    </cfRule>
  </conditionalFormatting>
  <conditionalFormatting sqref="C33:C42">
    <cfRule type="iconSet" priority="2">
      <iconSet iconSet="4TrafficLights">
        <cfvo type="percent" val="0"/>
        <cfvo type="percent" val="25"/>
        <cfvo type="percent" val="50"/>
        <cfvo type="percent" val="75"/>
      </iconSet>
    </cfRule>
  </conditionalFormatting>
  <conditionalFormatting sqref="C47:C59 C61:C63">
    <cfRule type="iconSet" priority="12">
      <iconSet iconSet="4TrafficLights">
        <cfvo type="percent" val="0"/>
        <cfvo type="percent" val="25"/>
        <cfvo type="percent" val="50"/>
        <cfvo type="percent" val="75"/>
      </iconSet>
    </cfRule>
  </conditionalFormatting>
  <dataValidations count="1">
    <dataValidation type="list" allowBlank="1" showInputMessage="1" showErrorMessage="1" sqref="C7:C13 C18:C28 C33:C42 C47:C59 C61:C63" xr:uid="{7A64AE99-1723-48A0-8D8C-7B2C326DC3D4}">
      <formula1>"Completely Met, Met with issues, Not met, Agreed not applicable"</formula1>
    </dataValidation>
  </dataValidations>
  <hyperlinks>
    <hyperlink ref="A7:A13" r:id="rId1" location="non-text-content" display="https://www.w3.org/TR/WCAG21/ - non-text-content" xr:uid="{A2FC521D-CC13-4505-98DA-973D743CCDB6}"/>
    <hyperlink ref="B7" r:id="rId2" xr:uid="{33660C87-CFCB-4345-965A-6EB80C393E5C}"/>
    <hyperlink ref="B11" r:id="rId3" xr:uid="{3894A50E-D584-4AF4-B7A9-A2B130112CD8}"/>
    <hyperlink ref="B13" r:id="rId4" xr:uid="{E111BD3A-87C1-41B2-A2C7-0D1838F34AA0}"/>
    <hyperlink ref="B18" r:id="rId5" location="transcripts" xr:uid="{50D25BEC-CE2E-4899-8862-2B683E3BDCBE}"/>
    <hyperlink ref="B19" r:id="rId6" location="ad" xr:uid="{B6577106-A723-486F-B503-864152BB2D38}"/>
    <hyperlink ref="A18:A19" r:id="rId7" location="audio-only-and-video-only-prerecorded" display="1.2.1 Prerecorded Audio-only and Video-only (Level A)" xr:uid="{0B9F0A83-C850-4210-8040-6A9E65E2852C}"/>
    <hyperlink ref="A20" r:id="rId8" location="captions-prerecorded" display="1.2.2 Captions (Prerecorded) (Level A)" xr:uid="{4B4D1BD5-2692-41E7-93FE-2103F763761A}"/>
    <hyperlink ref="B20" r:id="rId9" xr:uid="{911FD61B-6778-4CE0-AB74-649C1C4B50B7}"/>
    <hyperlink ref="A21" r:id="rId10" location="audio-description-or-media-alternative-prerecorded" display="1.2.3 Audio Description or Media Alternative (Prerecorded) (Level A)" xr:uid="{A16C2816-EFBA-48A4-BC05-CAAF82A83EB1}"/>
    <hyperlink ref="A22" r:id="rId11" location="captions-live" display="1.2.4 Captions (Live) (Level AA)" xr:uid="{AAF8C2A6-5C4D-4364-BFF0-A5E13F63245A}"/>
    <hyperlink ref="A23:A24" r:id="rId12" location="audio-description-prerecorded" display="1.2.5 Audio Description (Prerecorded) (Level AA)" xr:uid="{453D6D1B-6F04-4194-9997-D6DC3E7DB748}"/>
    <hyperlink ref="A25" r:id="rId13" location="sign-language-prerecorded" display="1.2.6 Sign Language (Prerecorded) (Level AAA)" xr:uid="{A1B224FE-76B6-4D69-AD62-9F15B92C72A7}"/>
    <hyperlink ref="A26" r:id="rId14" location="extended-audio-description-prerecorded" display="1.2.7 Extended Audio Description (Prerecorded) (Level AAA)" xr:uid="{13002390-2784-4809-AB2E-9B649EE791C8}"/>
    <hyperlink ref="A27" r:id="rId15" location="media-alternative-prerecorded" display="1.2.8 Media Alternative (Prerecorded) (Level AAA)" xr:uid="{64730A5B-6EC3-434C-BD9E-03A21994A284}"/>
    <hyperlink ref="A28" r:id="rId16" location="audio-only-live" display="1.2.9 Audio-only (Live) (Level AAA)" xr:uid="{9D8638A7-B369-4D27-B199-7BFBC3C5955F}"/>
    <hyperlink ref="A33:A35" r:id="rId17" location="info-and-relationships" display="https://www.w3.org/TR/WCAG21/ - info-and-relationships" xr:uid="{1478E785-A212-41E9-919F-B0C8CA952E0B}"/>
    <hyperlink ref="B33" r:id="rId18" display="Semantic markup is used to designate headings (&lt;h1&gt;), regions/landmarks, lists (&lt;ul&gt;, &lt;ol&gt;, and &lt;dl&gt;), emphasized or special text (&lt;strong&gt;, &lt;code&gt;, &lt;abbr&gt;, &lt;blockquote&gt;, for example), etc. Semantic markup is used appropriately." xr:uid="{121E8B42-19B8-46E6-A775-90DEE2C5F8D3}"/>
    <hyperlink ref="B34" r:id="rId19" xr:uid="{4D242901-22F9-4EDD-B174-2A250EB1828F}"/>
    <hyperlink ref="B35" r:id="rId20" xr:uid="{62DB1266-9D2E-4C3C-BE83-B08F2C3997D5}"/>
    <hyperlink ref="A36" r:id="rId21" location="meaningful-sequence" display="1.3.2 Meaningful Sequence (Level A)" xr:uid="{51F92FA4-3FF9-489F-B0BD-742495B926A4}"/>
    <hyperlink ref="B36" r:id="rId22" location="linearization" xr:uid="{B2A61E0D-E744-4679-9A5F-5222B2444B96}"/>
    <hyperlink ref="A37" r:id="rId23" location="sensory-characteristics" display="https://www.w3.org/TR/WCAG21/ - sensory-characteristics" xr:uid="{339A19D7-8DDB-491A-A4F4-C8FE08489860}"/>
    <hyperlink ref="A39" r:id="rId24" location="orientation" display="https://www.w3.org/TR/WCAG21/ - orientation" xr:uid="{A57F0086-9B1E-46E1-9EDC-EB0971CA3104}"/>
    <hyperlink ref="A40" r:id="rId25" location="identify-input-purpose" display="https://www.w3.org/TR/WCAG21/ - identify-input-purpose" xr:uid="{582E043B-A48E-48C7-99AC-68DB726AFE33}"/>
    <hyperlink ref="B40" r:id="rId26" location="input-purposes" xr:uid="{B8282C6A-BD51-4EEC-A7DB-92F06661A95E}"/>
    <hyperlink ref="A41:A42" r:id="rId27" location="identify-purpose" display="https://www.w3.org/TR/WCAG21/ - identify-purpose" xr:uid="{5A1247D1-B3D4-435D-9FFF-76A391ECFDF8}"/>
    <hyperlink ref="B48" r:id="rId28" display="Color alone is not used to distinguish links from surrounding text unless the contrast ratio between the link and the surrounding text is at least 3:1 and an additional distinction (e.g., it becomes underlined) is provided when the link is hovered over and receives focus." xr:uid="{AF816DD6-D7A6-4B65-8033-E7A029077320}"/>
    <hyperlink ref="A47:A48" r:id="rId29" location="use-of-color" display="https://www.w3.org/TR/WCAG21/ - use-of-color" xr:uid="{02291C66-949A-486A-B9AF-D81F0BF80878}"/>
    <hyperlink ref="A49" r:id="rId30" location="audio-control" display="1.4.2 Audio Control" xr:uid="{7D3B5F6B-C5F5-46BC-AD5A-8C144F41C105}"/>
    <hyperlink ref="A50:A51" r:id="rId31" location="contrast-minimum" display="https://www.w3.org/TR/WCAG21/ - contrast-minimum" xr:uid="{1D041F4B-9CBD-4EA2-9301-99328F0EE32C}"/>
    <hyperlink ref="A52" r:id="rId32" location="resize-text" xr:uid="{05A3D837-393B-4E28-9731-C33C447D8B75}"/>
    <hyperlink ref="B52" r:id="rId33" location="sc1.4.10" xr:uid="{8A603962-E245-4C02-8589-B9A6068D3ACC}"/>
    <hyperlink ref="A53" r:id="rId34" location="images-of-text" display="1.4.5 Images of Text" xr:uid="{7B1DD72D-6637-4164-961F-3A3728A40EA7}"/>
    <hyperlink ref="A54:A55" r:id="rId35" location="reflow" display="https://www.w3.org/TR/WCAG21/ - reflow" xr:uid="{2FEA4C26-4BF0-4D65-A018-CDBD2FB4CE7F}"/>
    <hyperlink ref="A56:A57" r:id="rId36" location="non-text-contrast" display="https://www.w3.org/TR/WCAG21/ - non-text-contrast" xr:uid="{D059AED8-717F-4BE7-B959-0EA604C82773}"/>
    <hyperlink ref="A58:A59" r:id="rId37" location="text-spacing" display="https://www.w3.org/TR/WCAG21/ - text-spacing" xr:uid="{11A5E4EE-A8FF-480C-877D-A34DDD658092}"/>
    <hyperlink ref="A60:A63" r:id="rId38" location="content-on-hover-or-focus" display="https://www.w3.org/TR/WCAG21/ - content-on-hover-or-focus" xr:uid="{C2D81F77-FE17-4640-909C-202786F95422}"/>
  </hyperlinks>
  <pageMargins left="0.7" right="0.7" top="0.75" bottom="0.75" header="0.3" footer="0.3"/>
  <pageSetup paperSize="9" scale="95" orientation="landscape" horizontalDpi="1200" verticalDpi="1200" r:id="rId39"/>
  <headerFooter>
    <oddHeader>&amp;LCPS/ DTS/ ITA&amp;C&amp;A&amp;R&amp;F</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E3EF-EAF4-440F-AE25-D7A2FDFE9513}">
  <sheetPr codeName="Sheet3">
    <tabColor rgb="FFFFFF00"/>
  </sheetPr>
  <dimension ref="A1:E43"/>
  <sheetViews>
    <sheetView zoomScaleNormal="100" workbookViewId="0">
      <selection activeCell="E42" sqref="E42"/>
    </sheetView>
  </sheetViews>
  <sheetFormatPr defaultColWidth="8.7109375" defaultRowHeight="15"/>
  <cols>
    <col min="1" max="1" width="17.42578125" style="1" customWidth="1"/>
    <col min="2" max="2" width="34.5703125" style="1" customWidth="1"/>
    <col min="3" max="3" width="17.28515625" style="1" customWidth="1"/>
    <col min="4" max="5" width="34.85546875" style="1" customWidth="1"/>
    <col min="6" max="16384" width="8.7109375" style="1"/>
  </cols>
  <sheetData>
    <row r="1" spans="1:5" ht="57" customHeight="1" thickBot="1">
      <c r="A1" s="40" t="s">
        <v>112</v>
      </c>
      <c r="B1" s="40"/>
      <c r="C1" s="40"/>
      <c r="D1" s="40"/>
      <c r="E1" s="40"/>
    </row>
    <row r="2" spans="1:5" ht="26.1" customHeight="1" thickBot="1">
      <c r="A2" s="41" t="s">
        <v>113</v>
      </c>
      <c r="B2" s="41"/>
      <c r="C2" s="41"/>
      <c r="D2" s="41"/>
      <c r="E2" s="41"/>
    </row>
    <row r="3" spans="1:5" ht="30.95" customHeight="1" thickBot="1">
      <c r="A3" s="42" t="s">
        <v>114</v>
      </c>
      <c r="B3" s="42"/>
      <c r="C3" s="42"/>
      <c r="D3" s="42"/>
      <c r="E3" s="42"/>
    </row>
    <row r="4" spans="1:5" ht="15.4" thickBot="1">
      <c r="A4" s="50" t="s">
        <v>26</v>
      </c>
      <c r="B4" s="9" t="s">
        <v>27</v>
      </c>
      <c r="C4" s="9" t="s">
        <v>28</v>
      </c>
      <c r="D4" s="9" t="s">
        <v>29</v>
      </c>
      <c r="E4" s="9" t="s">
        <v>30</v>
      </c>
    </row>
    <row r="5" spans="1:5" ht="15.4" thickBot="1">
      <c r="A5" s="51"/>
      <c r="B5" s="9">
        <f ca="1">COUNTIF('C WCAG Criteria 2'!A7:A8:$C$10,B4)</f>
        <v>0</v>
      </c>
      <c r="C5" s="9">
        <f>COUNTIF($C$7:$C$10,C4)</f>
        <v>0</v>
      </c>
      <c r="D5" s="9">
        <f>COUNTIF($C$7:$C$10,D4)</f>
        <v>0</v>
      </c>
      <c r="E5" s="9">
        <f>COUNTIF($C$7:$C$10,E4)</f>
        <v>0</v>
      </c>
    </row>
    <row r="6" spans="1:5" ht="28.7" thickBot="1">
      <c r="A6" s="4" t="s">
        <v>31</v>
      </c>
      <c r="B6" s="4" t="s">
        <v>32</v>
      </c>
      <c r="C6" s="4" t="s">
        <v>33</v>
      </c>
      <c r="D6" s="4" t="s">
        <v>34</v>
      </c>
      <c r="E6" s="4" t="s">
        <v>35</v>
      </c>
    </row>
    <row r="7" spans="1:5" ht="71.099999999999994" thickBot="1">
      <c r="A7" s="43" t="s">
        <v>115</v>
      </c>
      <c r="B7" s="14" t="s">
        <v>116</v>
      </c>
      <c r="C7" s="15"/>
      <c r="D7" s="10"/>
      <c r="E7" s="10" t="s">
        <v>117</v>
      </c>
    </row>
    <row r="8" spans="1:5" ht="71.099999999999994" thickBot="1">
      <c r="A8" s="43"/>
      <c r="B8" s="10" t="s">
        <v>118</v>
      </c>
      <c r="C8" s="15"/>
      <c r="D8" s="10"/>
      <c r="E8" s="10"/>
    </row>
    <row r="9" spans="1:5" ht="71.099999999999994" thickBot="1">
      <c r="A9" s="8" t="s">
        <v>119</v>
      </c>
      <c r="B9" s="14" t="s">
        <v>120</v>
      </c>
      <c r="C9" s="15"/>
      <c r="D9" s="10"/>
      <c r="E9" s="10" t="s">
        <v>121</v>
      </c>
    </row>
    <row r="10" spans="1:5" ht="113.65" thickBot="1">
      <c r="A10" s="8" t="s">
        <v>122</v>
      </c>
      <c r="B10" s="10" t="s">
        <v>123</v>
      </c>
      <c r="C10" s="15"/>
      <c r="D10" s="10"/>
      <c r="E10" s="10"/>
    </row>
    <row r="11" spans="1:5" ht="30.95" customHeight="1" thickBot="1">
      <c r="A11" s="42" t="s">
        <v>124</v>
      </c>
      <c r="B11" s="42"/>
      <c r="C11" s="42"/>
      <c r="D11" s="42"/>
      <c r="E11" s="42"/>
    </row>
    <row r="12" spans="1:5" ht="15.4" thickBot="1">
      <c r="A12" s="50" t="s">
        <v>26</v>
      </c>
      <c r="B12" s="9" t="s">
        <v>27</v>
      </c>
      <c r="C12" s="9" t="s">
        <v>28</v>
      </c>
      <c r="D12" s="9" t="s">
        <v>29</v>
      </c>
      <c r="E12" s="9" t="s">
        <v>30</v>
      </c>
    </row>
    <row r="13" spans="1:5" ht="15.4" thickBot="1">
      <c r="A13" s="51"/>
      <c r="B13" s="9">
        <f>COUNTIF($C$15:$C$17,B12)</f>
        <v>0</v>
      </c>
      <c r="C13" s="9">
        <f>COUNTIF($C$15:$C$17,C12)</f>
        <v>0</v>
      </c>
      <c r="D13" s="9">
        <f>COUNTIF($C$15:$C$17,D12)</f>
        <v>0</v>
      </c>
      <c r="E13" s="9">
        <f>COUNTIF($C$15:$C$17,E12)</f>
        <v>0</v>
      </c>
    </row>
    <row r="14" spans="1:5" ht="28.7" thickBot="1">
      <c r="A14" s="4" t="s">
        <v>31</v>
      </c>
      <c r="B14" s="4" t="s">
        <v>32</v>
      </c>
      <c r="C14" s="4" t="s">
        <v>33</v>
      </c>
      <c r="D14" s="4" t="s">
        <v>34</v>
      </c>
      <c r="E14" s="4" t="s">
        <v>35</v>
      </c>
    </row>
    <row r="15" spans="1:5" ht="99.4" thickBot="1">
      <c r="A15" s="8" t="s">
        <v>125</v>
      </c>
      <c r="B15" s="10" t="s">
        <v>126</v>
      </c>
      <c r="C15" s="15"/>
      <c r="D15" s="10"/>
      <c r="E15" s="10"/>
    </row>
    <row r="16" spans="1:5" ht="85.35" thickBot="1">
      <c r="A16" s="46" t="s">
        <v>127</v>
      </c>
      <c r="B16" s="10" t="s">
        <v>128</v>
      </c>
      <c r="C16" s="15"/>
      <c r="D16" s="10"/>
      <c r="E16" s="10"/>
    </row>
    <row r="17" spans="1:5" ht="85.35" thickBot="1">
      <c r="A17" s="48"/>
      <c r="B17" s="10" t="s">
        <v>129</v>
      </c>
      <c r="C17" s="15"/>
      <c r="D17" s="10"/>
      <c r="E17" s="10"/>
    </row>
    <row r="18" spans="1:5" ht="30.95" customHeight="1" thickBot="1">
      <c r="A18" s="42" t="s">
        <v>130</v>
      </c>
      <c r="B18" s="42"/>
      <c r="C18" s="42"/>
      <c r="D18" s="42"/>
      <c r="E18" s="42"/>
    </row>
    <row r="19" spans="1:5" ht="15.4" thickBot="1">
      <c r="A19" s="50" t="s">
        <v>26</v>
      </c>
      <c r="B19" s="9" t="s">
        <v>27</v>
      </c>
      <c r="C19" s="9" t="s">
        <v>28</v>
      </c>
      <c r="D19" s="9" t="s">
        <v>29</v>
      </c>
      <c r="E19" s="9" t="s">
        <v>30</v>
      </c>
    </row>
    <row r="20" spans="1:5" ht="15.4" thickBot="1">
      <c r="A20" s="51"/>
      <c r="B20" s="9">
        <f>COUNTIF($C$22:$C$22,B19)</f>
        <v>0</v>
      </c>
      <c r="C20" s="9">
        <f>COUNTIF($C$22:$C$22,C19)</f>
        <v>0</v>
      </c>
      <c r="D20" s="9">
        <f>COUNTIF($C$22:$C$22,D19)</f>
        <v>0</v>
      </c>
      <c r="E20" s="9">
        <f>COUNTIF($C$22:$C$22,E19)</f>
        <v>0</v>
      </c>
    </row>
    <row r="21" spans="1:5" ht="28.7" thickBot="1">
      <c r="A21" s="4" t="s">
        <v>31</v>
      </c>
      <c r="B21" s="4" t="s">
        <v>32</v>
      </c>
      <c r="C21" s="4" t="s">
        <v>33</v>
      </c>
      <c r="D21" s="4" t="s">
        <v>34</v>
      </c>
      <c r="E21" s="4" t="s">
        <v>35</v>
      </c>
    </row>
    <row r="22" spans="1:5" ht="85.35" thickBot="1">
      <c r="A22" s="8" t="s">
        <v>131</v>
      </c>
      <c r="B22" s="14" t="s">
        <v>132</v>
      </c>
      <c r="C22" s="15"/>
      <c r="D22" s="10"/>
      <c r="E22" s="10" t="s">
        <v>133</v>
      </c>
    </row>
    <row r="23" spans="1:5" ht="30.95" customHeight="1" thickBot="1">
      <c r="A23" s="42" t="s">
        <v>134</v>
      </c>
      <c r="B23" s="42"/>
      <c r="C23" s="42"/>
      <c r="D23" s="42"/>
      <c r="E23" s="42"/>
    </row>
    <row r="24" spans="1:5" ht="15.4" thickBot="1">
      <c r="A24" s="50" t="s">
        <v>26</v>
      </c>
      <c r="B24" s="9" t="s">
        <v>27</v>
      </c>
      <c r="C24" s="9" t="s">
        <v>28</v>
      </c>
      <c r="D24" s="9" t="s">
        <v>29</v>
      </c>
      <c r="E24" s="9" t="s">
        <v>30</v>
      </c>
    </row>
    <row r="25" spans="1:5" ht="15.4" thickBot="1">
      <c r="A25" s="51"/>
      <c r="B25" s="9">
        <f>COUNTIF($C$27:$C$35,B24)</f>
        <v>0</v>
      </c>
      <c r="C25" s="9">
        <f>COUNTIF($C$27:$C$35,C24)</f>
        <v>0</v>
      </c>
      <c r="D25" s="9">
        <f>COUNTIF($C$27:$C$35,D24)</f>
        <v>0</v>
      </c>
      <c r="E25" s="9">
        <f>COUNTIF($C$27:$C$35,E24)</f>
        <v>0</v>
      </c>
    </row>
    <row r="26" spans="1:5" ht="28.7" thickBot="1">
      <c r="A26" s="4" t="s">
        <v>31</v>
      </c>
      <c r="B26" s="4" t="s">
        <v>32</v>
      </c>
      <c r="C26" s="4" t="s">
        <v>33</v>
      </c>
      <c r="D26" s="4" t="s">
        <v>34</v>
      </c>
      <c r="E26" s="4" t="s">
        <v>35</v>
      </c>
    </row>
    <row r="27" spans="1:5" ht="42.95" thickBot="1">
      <c r="A27" s="46" t="s">
        <v>135</v>
      </c>
      <c r="B27" s="14" t="s">
        <v>136</v>
      </c>
      <c r="C27" s="15"/>
      <c r="D27" s="10"/>
      <c r="E27" s="10"/>
    </row>
    <row r="28" spans="1:5" ht="141.94999999999999" thickBot="1">
      <c r="A28" s="47"/>
      <c r="B28" s="10" t="s">
        <v>137</v>
      </c>
      <c r="C28" s="15"/>
      <c r="D28" s="10"/>
      <c r="E28" s="10"/>
    </row>
    <row r="29" spans="1:5" ht="28.7" thickBot="1">
      <c r="A29" s="8" t="s">
        <v>138</v>
      </c>
      <c r="B29" s="10" t="s">
        <v>139</v>
      </c>
      <c r="C29" s="15"/>
      <c r="D29" s="10"/>
      <c r="E29" s="10"/>
    </row>
    <row r="30" spans="1:5" ht="42.95" thickBot="1">
      <c r="A30" s="8" t="s">
        <v>140</v>
      </c>
      <c r="B30" s="10" t="s">
        <v>141</v>
      </c>
      <c r="C30" s="15"/>
      <c r="D30" s="10"/>
      <c r="E30" s="10" t="s">
        <v>142</v>
      </c>
    </row>
    <row r="31" spans="1:5" ht="99.4" thickBot="1">
      <c r="A31" s="46" t="s">
        <v>143</v>
      </c>
      <c r="B31" s="10" t="s">
        <v>144</v>
      </c>
      <c r="C31" s="15"/>
      <c r="D31" s="10"/>
      <c r="E31" s="10"/>
    </row>
    <row r="32" spans="1:5" ht="42.95" thickBot="1">
      <c r="A32" s="47"/>
      <c r="B32" s="10" t="s">
        <v>145</v>
      </c>
      <c r="C32" s="15"/>
      <c r="D32" s="10"/>
      <c r="E32" s="10"/>
    </row>
    <row r="33" spans="1:5" ht="71.099999999999994" thickBot="1">
      <c r="A33" s="8" t="s">
        <v>146</v>
      </c>
      <c r="B33" s="14" t="s">
        <v>147</v>
      </c>
      <c r="C33" s="15"/>
      <c r="D33" s="10"/>
      <c r="E33" s="10"/>
    </row>
    <row r="34" spans="1:5" ht="99.4" thickBot="1">
      <c r="A34" s="8" t="s">
        <v>148</v>
      </c>
      <c r="B34" s="10" t="s">
        <v>149</v>
      </c>
      <c r="C34" s="15"/>
      <c r="D34" s="10"/>
      <c r="E34" s="10"/>
    </row>
    <row r="35" spans="1:5" ht="57" thickBot="1">
      <c r="A35" s="8" t="s">
        <v>150</v>
      </c>
      <c r="B35" s="10" t="s">
        <v>151</v>
      </c>
      <c r="C35" s="15"/>
      <c r="D35" s="10"/>
      <c r="E35" s="10"/>
    </row>
    <row r="36" spans="1:5" ht="30.95" customHeight="1" thickBot="1">
      <c r="A36" s="42" t="s">
        <v>152</v>
      </c>
      <c r="B36" s="42"/>
      <c r="C36" s="42"/>
      <c r="D36" s="42"/>
      <c r="E36" s="42"/>
    </row>
    <row r="37" spans="1:5" ht="15.4" thickBot="1">
      <c r="A37" s="50" t="s">
        <v>26</v>
      </c>
      <c r="B37" s="9" t="s">
        <v>27</v>
      </c>
      <c r="C37" s="9" t="s">
        <v>28</v>
      </c>
      <c r="D37" s="9" t="s">
        <v>29</v>
      </c>
      <c r="E37" s="9" t="s">
        <v>30</v>
      </c>
    </row>
    <row r="38" spans="1:5" ht="15.4" thickBot="1">
      <c r="A38" s="51"/>
      <c r="B38" s="9">
        <f>COUNTIF($C$40:$C$43,B37)</f>
        <v>0</v>
      </c>
      <c r="C38" s="9">
        <f>COUNTIF($C$40:$C$43,C37)</f>
        <v>0</v>
      </c>
      <c r="D38" s="9">
        <f>COUNTIF($C$40:$C$43,D37)</f>
        <v>0</v>
      </c>
      <c r="E38" s="9">
        <f>COUNTIF($C$40:$C$43,E37)</f>
        <v>0</v>
      </c>
    </row>
    <row r="39" spans="1:5" ht="28.7" thickBot="1">
      <c r="A39" s="4" t="s">
        <v>31</v>
      </c>
      <c r="B39" s="4" t="s">
        <v>32</v>
      </c>
      <c r="C39" s="4" t="s">
        <v>33</v>
      </c>
      <c r="D39" s="4" t="s">
        <v>34</v>
      </c>
      <c r="E39" s="4" t="s">
        <v>35</v>
      </c>
    </row>
    <row r="40" spans="1:5" ht="99.4" thickBot="1">
      <c r="A40" s="8" t="s">
        <v>153</v>
      </c>
      <c r="B40" s="10" t="s">
        <v>154</v>
      </c>
      <c r="C40" s="15"/>
      <c r="D40" s="10"/>
      <c r="E40" s="10"/>
    </row>
    <row r="41" spans="1:5" ht="127.7" thickBot="1">
      <c r="A41" s="8" t="s">
        <v>155</v>
      </c>
      <c r="B41" s="10" t="s">
        <v>156</v>
      </c>
      <c r="C41" s="15"/>
      <c r="D41" s="10"/>
      <c r="E41" s="10"/>
    </row>
    <row r="42" spans="1:5" ht="85.35" thickBot="1">
      <c r="A42" s="8" t="s">
        <v>157</v>
      </c>
      <c r="B42" s="10" t="s">
        <v>158</v>
      </c>
      <c r="C42" s="15"/>
      <c r="D42" s="10"/>
      <c r="E42" s="10" t="s">
        <v>159</v>
      </c>
    </row>
    <row r="43" spans="1:5" ht="99.4" thickBot="1">
      <c r="A43" s="8" t="s">
        <v>160</v>
      </c>
      <c r="B43" s="10" t="s">
        <v>161</v>
      </c>
      <c r="C43" s="15"/>
      <c r="D43" s="10"/>
      <c r="E43" s="10"/>
    </row>
  </sheetData>
  <mergeCells count="16">
    <mergeCell ref="A37:A38"/>
    <mergeCell ref="A31:A32"/>
    <mergeCell ref="A1:E1"/>
    <mergeCell ref="A2:E2"/>
    <mergeCell ref="A3:E3"/>
    <mergeCell ref="A4:A5"/>
    <mergeCell ref="A36:E36"/>
    <mergeCell ref="A7:A8"/>
    <mergeCell ref="A11:E11"/>
    <mergeCell ref="A12:A13"/>
    <mergeCell ref="A16:A17"/>
    <mergeCell ref="A18:E18"/>
    <mergeCell ref="A19:A20"/>
    <mergeCell ref="A23:E23"/>
    <mergeCell ref="A24:A25"/>
    <mergeCell ref="A27:A28"/>
  </mergeCells>
  <conditionalFormatting sqref="C7:C10 C15:C17 C22 C27:C35 C40:C43">
    <cfRule type="iconSet" priority="20">
      <iconSet iconSet="4TrafficLights">
        <cfvo type="percent" val="0"/>
        <cfvo type="percent" val="25"/>
        <cfvo type="percent" val="50"/>
        <cfvo type="percent" val="75"/>
      </iconSet>
    </cfRule>
  </conditionalFormatting>
  <dataValidations count="1">
    <dataValidation type="list" allowBlank="1" showInputMessage="1" showErrorMessage="1" sqref="C7:C10 C15:C17 C22 C27:C35 C40:C43" xr:uid="{03E572E5-3946-49D8-8C76-8326DDB3C217}">
      <formula1>"Completely Met, Met with issues, Not met, Agreed not applicable"</formula1>
    </dataValidation>
  </dataValidations>
  <hyperlinks>
    <hyperlink ref="A7" r:id="rId1" location="keyboard" display="https://www.w3.org/TR/WCAG21/ - keyboard" xr:uid="{BC32B12C-A60B-4F63-89AF-D095DC613BC0}"/>
    <hyperlink ref="B7" r:id="rId2" xr:uid="{34CB2905-9022-412E-9063-87E2A94FD808}"/>
    <hyperlink ref="A9" r:id="rId3" location="no-keyboard-trap" display="https://www.w3.org/TR/WCAG21/ - no-keyboard-trap" xr:uid="{91B31462-F353-40C8-99B9-D33DF603DDD0}"/>
    <hyperlink ref="B9" r:id="rId4" xr:uid="{6794191F-FD7C-449D-B82E-43B5FD893955}"/>
    <hyperlink ref="A10" r:id="rId5" location="character-key-shortcuts" display="https://www.w3.org/TR/WCAG21/ - character-key-shortcuts" xr:uid="{C4787484-DB9A-469D-8346-B05A99426174}"/>
    <hyperlink ref="A15" r:id="rId6" location="timing-adjustable" display="https://www.w3.org/TR/WCAG21/ - timing-adjustable" xr:uid="{BD3B04C5-410F-4ABC-AC9D-031864F1AC38}"/>
    <hyperlink ref="A16:A17" r:id="rId7" location="pause-stop-hide" display="https://www.w3.org/TR/WCAG21/ - pause-stop-hide" xr:uid="{3B4A68AA-E2E3-4EF4-A068-60B5C002F2A1}"/>
    <hyperlink ref="A22" r:id="rId8" location="three-flashes-or-below-threshold" display="https://www.w3.org/TR/WCAG21/ - three-flashes-or-below-threshold" xr:uid="{0C411AEA-2549-468E-9936-DB4E2B3CBBBC}"/>
    <hyperlink ref="B22" r:id="rId9" xr:uid="{B18A5EF0-DF70-4E98-AB3D-3C8AF1B82886}"/>
    <hyperlink ref="B27" r:id="rId10" xr:uid="{67E44BA1-9F88-4ADF-98F2-4F6A59B22C6E}"/>
    <hyperlink ref="A27:A28" r:id="rId11" location="bypass-blocks" display="https://www.w3.org/TR/WCAG21/ - bypass-blocks" xr:uid="{8BE09A99-C08B-4B68-B6ED-549BC6DF10F7}"/>
    <hyperlink ref="A29" r:id="rId12" location="page-titled" display="https://www.w3.org/TR/WCAG21/ - page-titled" xr:uid="{FDD136C1-C7DA-488E-A1EC-F10E639B5B84}"/>
    <hyperlink ref="A30" r:id="rId13" location="focus-order" display="2.4.3 Focus Order" xr:uid="{C0525E5C-BC5B-4E9A-8CD0-EA17F1634E18}"/>
    <hyperlink ref="A31" r:id="rId14" location="link-purpose-in-context" display="https://www.w3.org/TR/WCAG21/ - link-purpose-in-context" xr:uid="{C8CC2A0A-81C5-4852-BC2F-2ADF3B0215AA}"/>
    <hyperlink ref="B33" r:id="rId15" xr:uid="{3B61B4F3-7B43-4CF0-BB91-94345769A646}"/>
    <hyperlink ref="A33" r:id="rId16" location="multiple-ways" display="https://www.w3.org/TR/WCAG21/ - multiple-ways" xr:uid="{6A08B63D-91DE-4E6F-893B-01776A402E45}"/>
    <hyperlink ref="A34" r:id="rId17" location="headings-and-labels" display="https://www.w3.org/TR/WCAG21/ - headings-and-labels" xr:uid="{7F8E9FD6-B731-4115-9CA0-338D7BB1554E}"/>
    <hyperlink ref="A35" r:id="rId18" location="focus-visible" display="https://www.w3.org/TR/WCAG21/ - focus-visible" xr:uid="{3E6F5783-738F-4CF0-B4EA-C6113758BFCA}"/>
    <hyperlink ref="A40" r:id="rId19" location="pointer-gestures" display="https://www.w3.org/TR/WCAG21/ - pointer-gestures" xr:uid="{7BB68E27-61D9-4498-A42F-30680B35AA44}"/>
    <hyperlink ref="A41" r:id="rId20" location="pointer-cancellation" display="https://www.w3.org/TR/WCAG21/ - pointer-cancellation" xr:uid="{603EC00B-FB7E-4441-95EB-515411030BA3}"/>
    <hyperlink ref="A42" r:id="rId21" location="label-in-name" display="https://www.w3.org/TR/WCAG21/ - label-in-name" xr:uid="{2DC67546-4D7E-466F-AE6E-FA4708C2EEE9}"/>
    <hyperlink ref="A43" r:id="rId22" location="motion-actuation" display="https://www.w3.org/TR/WCAG21/ - motion-actuation" xr:uid="{6CC04A6A-F2C8-4B89-A6E7-ABD57239AD6A}"/>
  </hyperlinks>
  <pageMargins left="0.7" right="0.7" top="0.75" bottom="0.75" header="0.3" footer="0.3"/>
  <pageSetup paperSize="9" scale="95" orientation="landscape" horizontalDpi="1200" verticalDpi="1200" r:id="rId23"/>
  <headerFooter>
    <oddHeader>&amp;LCPS/ DTS/ ITA&amp;C&amp;A&amp;R&amp;F</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E4B09-B3A4-47E8-B081-BCCAEB0BA0C0}">
  <sheetPr codeName="Sheet4">
    <tabColor rgb="FFFFFF00"/>
  </sheetPr>
  <dimension ref="A1:E25"/>
  <sheetViews>
    <sheetView topLeftCell="B22" zoomScaleNormal="100" workbookViewId="0">
      <selection activeCell="E21" sqref="E21"/>
    </sheetView>
  </sheetViews>
  <sheetFormatPr defaultColWidth="8.7109375" defaultRowHeight="15"/>
  <cols>
    <col min="1" max="1" width="17.42578125" style="1" customWidth="1"/>
    <col min="2" max="2" width="34.5703125" style="1" customWidth="1"/>
    <col min="3" max="3" width="17.28515625" style="1" customWidth="1"/>
    <col min="4" max="5" width="34.85546875" style="1" customWidth="1"/>
    <col min="6" max="16384" width="8.7109375" style="1"/>
  </cols>
  <sheetData>
    <row r="1" spans="1:5" ht="57" customHeight="1" thickBot="1">
      <c r="A1" s="40" t="s">
        <v>162</v>
      </c>
      <c r="B1" s="40"/>
      <c r="C1" s="40"/>
      <c r="D1" s="40"/>
      <c r="E1" s="40"/>
    </row>
    <row r="2" spans="1:5" ht="26.1" customHeight="1" thickBot="1">
      <c r="A2" s="41" t="s">
        <v>163</v>
      </c>
      <c r="B2" s="41"/>
      <c r="C2" s="41"/>
      <c r="D2" s="41"/>
      <c r="E2" s="41"/>
    </row>
    <row r="3" spans="1:5" ht="30.95" customHeight="1" thickBot="1">
      <c r="A3" s="42" t="s">
        <v>164</v>
      </c>
      <c r="B3" s="42"/>
      <c r="C3" s="42"/>
      <c r="D3" s="42"/>
      <c r="E3" s="42"/>
    </row>
    <row r="4" spans="1:5" ht="15.4" thickBot="1">
      <c r="A4" s="50" t="s">
        <v>26</v>
      </c>
      <c r="B4" s="9" t="s">
        <v>27</v>
      </c>
      <c r="C4" s="9" t="s">
        <v>28</v>
      </c>
      <c r="D4" s="9" t="s">
        <v>29</v>
      </c>
      <c r="E4" s="9" t="s">
        <v>30</v>
      </c>
    </row>
    <row r="5" spans="1:5" ht="15.4" thickBot="1">
      <c r="A5" s="51"/>
      <c r="B5" s="9">
        <f>COUNTIF($C$7:$C$8,B4)</f>
        <v>0</v>
      </c>
      <c r="C5" s="9">
        <f>COUNTIF($C$7:$C$8,C4)</f>
        <v>0</v>
      </c>
      <c r="D5" s="9">
        <f>COUNTIF($C$7:$C$8,D4)</f>
        <v>0</v>
      </c>
      <c r="E5" s="9">
        <f>COUNTIF($C$7:$C$8,E4)</f>
        <v>0</v>
      </c>
    </row>
    <row r="6" spans="1:5" ht="28.7" thickBot="1">
      <c r="A6" s="4" t="s">
        <v>31</v>
      </c>
      <c r="B6" s="4" t="s">
        <v>32</v>
      </c>
      <c r="C6" s="4" t="s">
        <v>33</v>
      </c>
      <c r="D6" s="4" t="s">
        <v>34</v>
      </c>
      <c r="E6" s="4" t="s">
        <v>35</v>
      </c>
    </row>
    <row r="7" spans="1:5" ht="45.4" thickBot="1">
      <c r="A7" s="7" t="s">
        <v>165</v>
      </c>
      <c r="B7" s="5" t="s">
        <v>166</v>
      </c>
      <c r="C7" s="6"/>
      <c r="D7" s="5"/>
      <c r="E7" s="5"/>
    </row>
    <row r="8" spans="1:5" ht="60.4" thickBot="1">
      <c r="A8" s="7" t="s">
        <v>167</v>
      </c>
      <c r="B8" s="5" t="s">
        <v>168</v>
      </c>
      <c r="C8" s="6"/>
      <c r="D8" s="5"/>
      <c r="E8" s="5"/>
    </row>
    <row r="9" spans="1:5" ht="30.95" customHeight="1" thickBot="1">
      <c r="A9" s="42" t="s">
        <v>169</v>
      </c>
      <c r="B9" s="42"/>
      <c r="C9" s="42"/>
      <c r="D9" s="42"/>
      <c r="E9" s="42"/>
    </row>
    <row r="10" spans="1:5" ht="15.4" thickBot="1">
      <c r="A10" s="50" t="s">
        <v>26</v>
      </c>
      <c r="B10" s="9" t="s">
        <v>27</v>
      </c>
      <c r="C10" s="9" t="s">
        <v>28</v>
      </c>
      <c r="D10" s="9" t="s">
        <v>29</v>
      </c>
      <c r="E10" s="9" t="s">
        <v>30</v>
      </c>
    </row>
    <row r="11" spans="1:5" ht="15.4" thickBot="1">
      <c r="A11" s="51"/>
      <c r="B11" s="9">
        <f>COUNTIF($C$13:$C$16,B10)</f>
        <v>0</v>
      </c>
      <c r="C11" s="9">
        <f>COUNTIF($C$13:$C$16,C10)</f>
        <v>0</v>
      </c>
      <c r="D11" s="9">
        <f>COUNTIF($C$13:$C$16,D10)</f>
        <v>0</v>
      </c>
      <c r="E11" s="9">
        <f>COUNTIF($C$13:$C$16,E10)</f>
        <v>0</v>
      </c>
    </row>
    <row r="12" spans="1:5" ht="28.7" thickBot="1">
      <c r="A12" s="4" t="s">
        <v>31</v>
      </c>
      <c r="B12" s="4" t="s">
        <v>32</v>
      </c>
      <c r="C12" s="4" t="s">
        <v>33</v>
      </c>
      <c r="D12" s="4" t="s">
        <v>34</v>
      </c>
      <c r="E12" s="4" t="s">
        <v>35</v>
      </c>
    </row>
    <row r="13" spans="1:5" ht="99.4" thickBot="1">
      <c r="A13" s="8" t="s">
        <v>170</v>
      </c>
      <c r="B13" s="10" t="s">
        <v>171</v>
      </c>
      <c r="C13" s="15"/>
      <c r="D13" s="10"/>
      <c r="E13" s="10"/>
    </row>
    <row r="14" spans="1:5" ht="127.7" thickBot="1">
      <c r="A14" s="8" t="s">
        <v>172</v>
      </c>
      <c r="B14" s="10" t="s">
        <v>173</v>
      </c>
      <c r="C14" s="15"/>
      <c r="D14" s="10"/>
      <c r="E14" s="10"/>
    </row>
    <row r="15" spans="1:5" ht="42.95" thickBot="1">
      <c r="A15" s="8" t="s">
        <v>174</v>
      </c>
      <c r="B15" s="10" t="s">
        <v>175</v>
      </c>
      <c r="C15" s="15"/>
      <c r="D15" s="10"/>
      <c r="E15" s="10"/>
    </row>
    <row r="16" spans="1:5" ht="85.35" thickBot="1">
      <c r="A16" s="8" t="s">
        <v>176</v>
      </c>
      <c r="B16" s="10" t="s">
        <v>177</v>
      </c>
      <c r="C16" s="15"/>
      <c r="D16" s="10"/>
      <c r="E16" s="10"/>
    </row>
    <row r="17" spans="1:5" ht="30.95" customHeight="1" thickBot="1">
      <c r="A17" s="42" t="s">
        <v>178</v>
      </c>
      <c r="B17" s="42"/>
      <c r="C17" s="42"/>
      <c r="D17" s="42"/>
      <c r="E17" s="42"/>
    </row>
    <row r="18" spans="1:5" ht="15.4" thickBot="1">
      <c r="A18" s="50" t="s">
        <v>26</v>
      </c>
      <c r="B18" s="9" t="s">
        <v>27</v>
      </c>
      <c r="C18" s="9" t="s">
        <v>28</v>
      </c>
      <c r="D18" s="9" t="s">
        <v>29</v>
      </c>
      <c r="E18" s="9" t="s">
        <v>30</v>
      </c>
    </row>
    <row r="19" spans="1:5" ht="15.4" thickBot="1">
      <c r="A19" s="51"/>
      <c r="B19" s="9">
        <f>COUNTIF($C$21:$C$25,B18)</f>
        <v>0</v>
      </c>
      <c r="C19" s="9">
        <f>COUNTIF($C$13:$C$16,C18)</f>
        <v>0</v>
      </c>
      <c r="D19" s="9">
        <f>COUNTIF($C$13:$C$16,D18)</f>
        <v>0</v>
      </c>
      <c r="E19" s="9">
        <f>COUNTIF($C$13:$C$16,E18)</f>
        <v>0</v>
      </c>
    </row>
    <row r="20" spans="1:5" ht="28.7" thickBot="1">
      <c r="A20" s="4" t="s">
        <v>31</v>
      </c>
      <c r="B20" s="4" t="s">
        <v>32</v>
      </c>
      <c r="C20" s="4" t="s">
        <v>33</v>
      </c>
      <c r="D20" s="4" t="s">
        <v>34</v>
      </c>
      <c r="E20" s="4" t="s">
        <v>35</v>
      </c>
    </row>
    <row r="21" spans="1:5" ht="57" thickBot="1">
      <c r="A21" s="46" t="s">
        <v>179</v>
      </c>
      <c r="B21" s="10" t="s">
        <v>180</v>
      </c>
      <c r="C21" s="15"/>
      <c r="D21" s="10"/>
      <c r="E21" s="10"/>
    </row>
    <row r="22" spans="1:5" ht="85.35" thickBot="1">
      <c r="A22" s="48"/>
      <c r="B22" s="14" t="s">
        <v>181</v>
      </c>
      <c r="C22" s="15"/>
      <c r="D22" s="10"/>
      <c r="E22" s="10" t="s">
        <v>182</v>
      </c>
    </row>
    <row r="23" spans="1:5" ht="85.35" thickBot="1">
      <c r="A23" s="8" t="s">
        <v>183</v>
      </c>
      <c r="B23" s="10" t="s">
        <v>184</v>
      </c>
      <c r="C23" s="15"/>
      <c r="D23" s="10"/>
      <c r="E23" s="10" t="s">
        <v>185</v>
      </c>
    </row>
    <row r="24" spans="1:5" ht="71.099999999999994" thickBot="1">
      <c r="A24" s="8" t="s">
        <v>186</v>
      </c>
      <c r="B24" s="10" t="s">
        <v>187</v>
      </c>
      <c r="C24" s="15"/>
      <c r="D24" s="10"/>
      <c r="E24" s="10" t="s">
        <v>188</v>
      </c>
    </row>
    <row r="25" spans="1:5" ht="57" thickBot="1">
      <c r="A25" s="8" t="s">
        <v>189</v>
      </c>
      <c r="B25" s="10" t="s">
        <v>190</v>
      </c>
      <c r="C25" s="15"/>
      <c r="D25" s="10"/>
      <c r="E25" s="10"/>
    </row>
  </sheetData>
  <mergeCells count="9">
    <mergeCell ref="A10:A11"/>
    <mergeCell ref="A17:E17"/>
    <mergeCell ref="A18:A19"/>
    <mergeCell ref="A21:A22"/>
    <mergeCell ref="A1:E1"/>
    <mergeCell ref="A2:E2"/>
    <mergeCell ref="A3:E3"/>
    <mergeCell ref="A4:A5"/>
    <mergeCell ref="A9:E9"/>
  </mergeCells>
  <conditionalFormatting sqref="C7:C8 C13:C16 C21:C25">
    <cfRule type="iconSet" priority="23">
      <iconSet iconSet="4TrafficLights">
        <cfvo type="percent" val="0"/>
        <cfvo type="percent" val="25"/>
        <cfvo type="percent" val="50"/>
        <cfvo type="percent" val="75"/>
      </iconSet>
    </cfRule>
  </conditionalFormatting>
  <dataValidations count="1">
    <dataValidation type="list" allowBlank="1" showInputMessage="1" showErrorMessage="1" sqref="C7:C8 C13:C16 C21:C25" xr:uid="{1DFF1ED4-2DCD-428C-B623-2DC8A14C7E8B}">
      <formula1>"Completely Met, Met with issues, Not met, Agreed not applicable"</formula1>
    </dataValidation>
  </dataValidations>
  <hyperlinks>
    <hyperlink ref="A7" r:id="rId1" location="language-of-page" display="https://www.w3.org/TR/WCAG21/ - language-of-page" xr:uid="{757EAAA9-674F-4A4B-B497-7D5A338D29BE}"/>
    <hyperlink ref="A8" r:id="rId2" location="language-of-parts" display="https://www.w3.org/TR/WCAG21/ - language-of-parts" xr:uid="{525E5BCB-CC76-4566-AB8B-EFCE889393C1}"/>
    <hyperlink ref="A13" r:id="rId3" location="on-focus" display="https://www.w3.org/TR/WCAG21/ - on-focus" xr:uid="{393BBC74-F16E-4D1A-AE7A-9BE3E4FC5D35}"/>
    <hyperlink ref="A14" r:id="rId4" location="on-input" display="https://www.w3.org/TR/WCAG21/ - on-input" xr:uid="{49A420B0-E16E-4551-B7AF-F21B8609276A}"/>
    <hyperlink ref="A15" r:id="rId5" location="consistent-navigation" display="https://www.w3.org/TR/WCAG21/ - consistent-navigation" xr:uid="{718F3894-655D-486B-ADB1-5B331578D8E3}"/>
    <hyperlink ref="A16" r:id="rId6" location="consistent-identification" display="https://www.w3.org/TR/WCAG21/ - consistent-identification" xr:uid="{9967B86D-1602-4287-8029-14C711ED802F}"/>
    <hyperlink ref="B22" r:id="rId7" xr:uid="{405D9CFC-8F93-4F3E-BCAD-E8C567F83CAB}"/>
    <hyperlink ref="A21:A22" r:id="rId8" location="error-identification" display="https://www.w3.org/TR/WCAG21/ - error-identification" xr:uid="{40EBC66C-A764-4793-B058-AC228C3834AA}"/>
    <hyperlink ref="A23" r:id="rId9" location="labels-or-instructions" display="https://www.w3.org/TR/WCAG21/ - labels-or-instructions" xr:uid="{D6148220-6C2E-4499-B952-AAFE730EE339}"/>
    <hyperlink ref="A24" r:id="rId10" location="error-suggestion" display="https://www.w3.org/TR/WCAG21/ - error-suggestion" xr:uid="{68413E14-823B-423F-A47B-2DC6C6825D1D}"/>
    <hyperlink ref="A25" r:id="rId11" location="minimize-error-reversible" display="https://www.w3.org/TR/WCAG21/ - minimize-error-reversible" xr:uid="{8E09AFE7-E896-4A41-8C0B-E21CF3CC3389}"/>
  </hyperlinks>
  <pageMargins left="0.7" right="0.7" top="0.75" bottom="0.75" header="0.3" footer="0.3"/>
  <pageSetup paperSize="9" scale="95" orientation="landscape" horizontalDpi="1200" verticalDpi="1200" r:id="rId12"/>
  <headerFooter>
    <oddHeader>&amp;LCPS/ DTS/ ITA&amp;C&amp;A&amp;R&amp;F</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405CA-BEAB-4547-BB04-0DDC8D7904DD}">
  <sheetPr codeName="Sheet5">
    <tabColor rgb="FFFFFF00"/>
  </sheetPr>
  <dimension ref="A1:E10"/>
  <sheetViews>
    <sheetView topLeftCell="B1" zoomScaleNormal="100" workbookViewId="0">
      <selection activeCell="E6" sqref="E6"/>
    </sheetView>
  </sheetViews>
  <sheetFormatPr defaultColWidth="8.7109375" defaultRowHeight="15"/>
  <cols>
    <col min="1" max="1" width="17.42578125" style="1" customWidth="1"/>
    <col min="2" max="2" width="34.5703125" style="1" customWidth="1"/>
    <col min="3" max="3" width="17.28515625" style="1" customWidth="1"/>
    <col min="4" max="5" width="34.85546875" style="1" customWidth="1"/>
    <col min="6" max="16384" width="8.7109375" style="1"/>
  </cols>
  <sheetData>
    <row r="1" spans="1:5" ht="57" customHeight="1" thickBot="1">
      <c r="A1" s="40" t="s">
        <v>191</v>
      </c>
      <c r="B1" s="40"/>
      <c r="C1" s="40"/>
      <c r="D1" s="40"/>
      <c r="E1" s="40"/>
    </row>
    <row r="2" spans="1:5" ht="26.1" customHeight="1" thickBot="1">
      <c r="A2" s="41" t="s">
        <v>192</v>
      </c>
      <c r="B2" s="41"/>
      <c r="C2" s="41"/>
      <c r="D2" s="41"/>
      <c r="E2" s="41"/>
    </row>
    <row r="3" spans="1:5" ht="30.95" customHeight="1" thickBot="1">
      <c r="A3" s="42" t="s">
        <v>193</v>
      </c>
      <c r="B3" s="42"/>
      <c r="C3" s="42"/>
      <c r="D3" s="42"/>
      <c r="E3" s="42"/>
    </row>
    <row r="4" spans="1:5" ht="15.4" thickBot="1">
      <c r="A4" s="50" t="s">
        <v>26</v>
      </c>
      <c r="B4" s="9" t="s">
        <v>27</v>
      </c>
      <c r="C4" s="9" t="s">
        <v>28</v>
      </c>
      <c r="D4" s="9" t="s">
        <v>29</v>
      </c>
      <c r="E4" s="9" t="s">
        <v>30</v>
      </c>
    </row>
    <row r="5" spans="1:5" ht="15.4" thickBot="1">
      <c r="A5" s="51"/>
      <c r="B5" s="9">
        <f>COUNTIF($C$7:$C$10,B4)</f>
        <v>0</v>
      </c>
      <c r="C5" s="9">
        <f>COUNTIF($C$7:$C$10,C4)</f>
        <v>0</v>
      </c>
      <c r="D5" s="9">
        <f>COUNTIF($C$7:$C$10,D4)</f>
        <v>0</v>
      </c>
      <c r="E5" s="9">
        <f>COUNTIF($C$7:$C$10,E4)</f>
        <v>0</v>
      </c>
    </row>
    <row r="6" spans="1:5" ht="28.7" thickBot="1">
      <c r="A6" s="4" t="s">
        <v>31</v>
      </c>
      <c r="B6" s="4" t="s">
        <v>32</v>
      </c>
      <c r="C6" s="4" t="s">
        <v>33</v>
      </c>
      <c r="D6" s="4" t="s">
        <v>34</v>
      </c>
      <c r="E6" s="4" t="s">
        <v>35</v>
      </c>
    </row>
    <row r="7" spans="1:5" ht="42.95" thickBot="1">
      <c r="A7" s="7" t="s">
        <v>194</v>
      </c>
      <c r="B7" s="10" t="s">
        <v>195</v>
      </c>
      <c r="C7" s="15"/>
      <c r="D7" s="10"/>
      <c r="E7" s="10" t="s">
        <v>196</v>
      </c>
    </row>
    <row r="8" spans="1:5" ht="71.099999999999994" thickBot="1">
      <c r="A8" s="55" t="s">
        <v>197</v>
      </c>
      <c r="B8" s="10" t="s">
        <v>198</v>
      </c>
      <c r="C8" s="15"/>
      <c r="D8" s="10"/>
      <c r="E8" s="10"/>
    </row>
    <row r="9" spans="1:5" ht="42.95" thickBot="1">
      <c r="A9" s="56"/>
      <c r="B9" s="10" t="s">
        <v>199</v>
      </c>
      <c r="C9" s="15"/>
      <c r="D9" s="10"/>
      <c r="E9" s="10"/>
    </row>
    <row r="10" spans="1:5" ht="85.35" thickBot="1">
      <c r="A10" s="7" t="s">
        <v>200</v>
      </c>
      <c r="B10" s="10" t="s">
        <v>201</v>
      </c>
      <c r="C10" s="15"/>
      <c r="D10" s="10"/>
      <c r="E10" s="10"/>
    </row>
  </sheetData>
  <mergeCells count="5">
    <mergeCell ref="A8:A9"/>
    <mergeCell ref="A1:E1"/>
    <mergeCell ref="A2:E2"/>
    <mergeCell ref="A3:E3"/>
    <mergeCell ref="A4:A5"/>
  </mergeCells>
  <conditionalFormatting sqref="C7:C10">
    <cfRule type="iconSet" priority="26">
      <iconSet iconSet="4TrafficLights">
        <cfvo type="percent" val="0"/>
        <cfvo type="percent" val="25"/>
        <cfvo type="percent" val="50"/>
        <cfvo type="percent" val="75"/>
      </iconSet>
    </cfRule>
  </conditionalFormatting>
  <dataValidations count="1">
    <dataValidation type="list" allowBlank="1" showInputMessage="1" showErrorMessage="1" sqref="C7:C10" xr:uid="{A74DE177-354B-4CC2-BA06-0B9FA5CDBF55}">
      <formula1>"Completely Met, Met with issues, Not met, Agreed not applicable"</formula1>
    </dataValidation>
  </dataValidations>
  <hyperlinks>
    <hyperlink ref="A7" r:id="rId1" location="parsing" display="https://www.w3.org/TR/WCAG21/ - parsing" xr:uid="{0AE41A2B-F59E-45FD-9612-C5A4ACE8EA76}"/>
    <hyperlink ref="A8:A9" r:id="rId2" location="name-role-value" display="https://www.w3.org/TR/WCAG21/ - name-role-value" xr:uid="{40E268B1-467E-4DD4-A210-F41517CD503B}"/>
    <hyperlink ref="A10" r:id="rId3" location="status-messages" display="https://www.w3.org/TR/WCAG21/ - status-messages" xr:uid="{98276C6E-ACB8-476B-92EA-25D82616FCA1}"/>
  </hyperlinks>
  <pageMargins left="0.7" right="0.7" top="0.75" bottom="0.75" header="0.3" footer="0.3"/>
  <pageSetup paperSize="9" scale="95" orientation="landscape" horizontalDpi="1200" verticalDpi="1200" r:id="rId4"/>
  <headerFooter>
    <oddHeader>&amp;LCPS/ DTS/ ITA&amp;C&amp;A&amp;R&amp;F</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527e7db1-3130-40c4-aff4-df0812437df1" ContentTypeId="0x01010084CAAD2E89D9450199F13641D827DA4F00F3ED2831EFCC481E887468FE6069842B" PreviousValue="false"/>
</file>

<file path=customXml/item2.xml><?xml version="1.0" encoding="utf-8"?>
<ct:contentTypeSchema xmlns:ct="http://schemas.microsoft.com/office/2006/metadata/contentType" xmlns:ma="http://schemas.microsoft.com/office/2006/metadata/properties/metaAttributes" ct:_="" ma:_="" ma:contentTypeName="Published Document" ma:contentTypeID="0x01010084CAAD2E89D9450199F13641D827DA4F00F3ED2831EFCC481E887468FE6069842B008E0D80A0F7814679BD76370079DC25C3004F369F0B844F7F47B5BF0E23F2F334E000D64F121B8CBF004EB49DA97293DECB2C" ma:contentTypeVersion="72" ma:contentTypeDescription="Published Document" ma:contentTypeScope="" ma:versionID="cc6686e6414a0a55f1bc43ec8fd98128">
  <xsd:schema xmlns:xsd="http://www.w3.org/2001/XMLSchema" xmlns:xs="http://www.w3.org/2001/XMLSchema" xmlns:p="http://schemas.microsoft.com/office/2006/metadata/properties" xmlns:ns2="a43215ff-c426-4344-a17d-812f230b5b3d" targetNamespace="http://schemas.microsoft.com/office/2006/metadata/properties" ma:root="true" ma:fieldsID="d71caa84114487fcb9f9d185b3f08e84" ns2:_="">
    <xsd:import namespace="a43215ff-c426-4344-a17d-812f230b5b3d"/>
    <xsd:element name="properties">
      <xsd:complexType>
        <xsd:sequence>
          <xsd:element name="documentManagement">
            <xsd:complexType>
              <xsd:all>
                <xsd:element ref="ns2:FlexDocumentPublishStatus" minOccurs="0"/>
                <xsd:element ref="ns2:FlexDocumentVersion" minOccurs="0"/>
                <xsd:element ref="ns2:FlexDocumentOriginalGuid" minOccurs="0"/>
                <xsd:element ref="ns2:FlexDocumentSortableTitle" minOccurs="0"/>
                <xsd:element ref="ns2:FlexDocumentLocationTaxHTField0" minOccurs="0"/>
                <xsd:element ref="ns2:FlexDocumentCategoryTaxHTField0" minOccurs="0"/>
                <xsd:element ref="ns2:FlexDocumentAuthor" minOccurs="0"/>
                <xsd:element ref="ns2:FlexFunctionTaxHTField0" minOccurs="0"/>
                <xsd:element ref="ns2:FlexAudienceTaxHTField0" minOccurs="0"/>
                <xsd:element ref="ns2:TaxCatchAll" minOccurs="0"/>
                <xsd:element ref="ns2:TaxCatchAllLabe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3215ff-c426-4344-a17d-812f230b5b3d" elementFormDefault="qualified">
    <xsd:import namespace="http://schemas.microsoft.com/office/2006/documentManagement/types"/>
    <xsd:import namespace="http://schemas.microsoft.com/office/infopath/2007/PartnerControls"/>
    <xsd:element name="FlexDocumentPublishStatus" ma:index="8" nillable="true" ma:displayName="Flex Document Publish Status" ma:internalName="FlexDocumentPublishStatus">
      <xsd:simpleType>
        <xsd:restriction base="dms:Text"/>
      </xsd:simpleType>
    </xsd:element>
    <xsd:element name="FlexDocumentVersion" ma:index="9" nillable="true" ma:displayName="Flex Document Version" ma:internalName="FlexDocumentVersion">
      <xsd:simpleType>
        <xsd:restriction base="dms:Number"/>
      </xsd:simpleType>
    </xsd:element>
    <xsd:element name="FlexDocumentOriginalGuid" ma:index="10" nillable="true" ma:displayName="Flex Document Original Id" ma:internalName="FlexDocumentOriginalGuid">
      <xsd:simpleType>
        <xsd:restriction base="dms:Text"/>
      </xsd:simpleType>
    </xsd:element>
    <xsd:element name="FlexDocumentSortableTitle" ma:index="11" nillable="true" ma:displayName="Flex Document Sortable Title" ma:hidden="true" ma:internalName="FlexDocumentSortableTitle">
      <xsd:simpleType>
        <xsd:restriction base="dms:Text"/>
      </xsd:simpleType>
    </xsd:element>
    <xsd:element name="FlexDocumentLocationTaxHTField0" ma:index="13" nillable="true" ma:taxonomy="true" ma:internalName="FlexDocumentLocationTaxHTField0" ma:taxonomyFieldName="FlexDocumentLocation" ma:displayName="Location" ma:default="" ma:fieldId="{d2759cd4-0b19-4cff-9043-df57ebca4957}" ma:taxonomyMulti="true" ma:sspId="527e7db1-3130-40c4-aff4-df0812437df1" ma:termSetId="3fd68e02-3c0e-48b3-b70f-0762e3a963bc" ma:anchorId="407ab0f8-59ed-4fbc-a7a7-3a51abed2083" ma:open="false" ma:isKeyword="false">
      <xsd:complexType>
        <xsd:sequence>
          <xsd:element ref="pc:Terms" minOccurs="0" maxOccurs="1"/>
        </xsd:sequence>
      </xsd:complexType>
    </xsd:element>
    <xsd:element name="FlexDocumentCategoryTaxHTField0" ma:index="15" nillable="true" ma:taxonomy="true" ma:internalName="FlexDocumentCategoryTaxHTField0" ma:taxonomyFieldName="FlexDocumentCategory" ma:displayName="Category" ma:fieldId="{916cd8d7-d70b-45ed-9bf3-4ce7ab700415}" ma:taxonomyMulti="true" ma:sspId="527e7db1-3130-40c4-aff4-df0812437df1" ma:termSetId="5c8d58b9-d3e7-41df-ace4-19c142a788a9" ma:anchorId="00000000-0000-0000-0000-000000000000" ma:open="false" ma:isKeyword="false">
      <xsd:complexType>
        <xsd:sequence>
          <xsd:element ref="pc:Terms" minOccurs="0" maxOccurs="1"/>
        </xsd:sequence>
      </xsd:complexType>
    </xsd:element>
    <xsd:element name="FlexDocumentAuthor" ma:index="16" nillable="true" ma:displayName="Document Author" ma:internalName="FlexDocumentAuthor" ma:showField="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lexFunctionTaxHTField0" ma:index="18" nillable="true" ma:taxonomy="true" ma:internalName="FlexFunctionTaxHTField0" ma:taxonomyFieldName="FlexFunction" ma:displayName="Function" ma:default="" ma:fieldId="{7b004a22-a748-40e8-b6fa-d5dc2e99751a}" ma:taxonomyMulti="true" ma:sspId="527e7db1-3130-40c4-aff4-df0812437df1" ma:termSetId="45aec6b4-c262-4668-bec9-fab60fad6574" ma:anchorId="407ab0f8-59ed-4fbc-a7a7-3a51abed2083" ma:open="false" ma:isKeyword="false">
      <xsd:complexType>
        <xsd:sequence>
          <xsd:element ref="pc:Terms" minOccurs="0" maxOccurs="1"/>
        </xsd:sequence>
      </xsd:complexType>
    </xsd:element>
    <xsd:element name="FlexAudienceTaxHTField0" ma:index="20" nillable="true" ma:taxonomy="true" ma:internalName="FlexAudienceTaxHTField0" ma:taxonomyFieldName="FlexAudience" ma:displayName="Audience" ma:default="" ma:fieldId="{7b004a22-a748-40e8-b6fa-d5dc2e9d1678}" ma:taxonomyMulti="true" ma:sspId="527e7db1-3130-40c4-aff4-df0812437df1" ma:termSetId="3e48c6b4-c262-4668-bec9-fab60fad723b" ma:anchorId="407ab0f8-59ed-4fbc-a7a7-3a51abed2083" ma:open="false" ma:isKeyword="false">
      <xsd:complexType>
        <xsd:sequence>
          <xsd:element ref="pc:Terms" minOccurs="0" maxOccurs="1"/>
        </xsd:sequence>
      </xsd:complexType>
    </xsd:element>
    <xsd:element name="TaxCatchAll" ma:index="21" nillable="true" ma:displayName="Taxonomy Catch All Column" ma:hidden="true" ma:list="{6a24fddc-bfe4-4de7-9cf1-df49571b84aa}" ma:internalName="TaxCatchAll" ma:showField="CatchAllData" ma:web="f60a8f55-eebc-48c8-9e1b-757210968144">
      <xsd:complexType>
        <xsd:complexContent>
          <xsd:extension base="dms:MultiChoiceLookup">
            <xsd:sequence>
              <xsd:element name="Value" type="dms:Lookup" maxOccurs="unbounded" minOccurs="0" nillable="true"/>
            </xsd:sequence>
          </xsd:extension>
        </xsd:complexContent>
      </xsd:complexType>
    </xsd:element>
    <xsd:element name="TaxCatchAllLabel" ma:index="22" nillable="true" ma:displayName="Taxonomy Catch All Column1" ma:hidden="true" ma:list="{6a24fddc-bfe4-4de7-9cf1-df49571b84aa}" ma:internalName="TaxCatchAllLabel" ma:readOnly="true" ma:showField="CatchAllDataLabel" ma:web="f60a8f55-eebc-48c8-9e1b-75721096814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lexDocumentAuthor xmlns="a43215ff-c426-4344-a17d-812f230b5b3d">
      <UserInfo>
        <DisplayName/>
        <AccountId xsi:nil="true"/>
        <AccountType/>
      </UserInfo>
    </FlexDocumentAuthor>
    <FlexAudienceTaxHTField0 xmlns="a43215ff-c426-4344-a17d-812f230b5b3d">
      <Terms xmlns="http://schemas.microsoft.com/office/infopath/2007/PartnerControls">
        <TermInfo xmlns="http://schemas.microsoft.com/office/infopath/2007/PartnerControls">
          <TermName xmlns="http://schemas.microsoft.com/office/infopath/2007/PartnerControls">HQ DTS</TermName>
          <TermId xmlns="http://schemas.microsoft.com/office/infopath/2007/PartnerControls">e8e105f6-de0a-4579-8da3-7cb66bc16ed3</TermId>
        </TermInfo>
      </Terms>
    </FlexAudienceTaxHTField0>
    <FlexDocumentCategoryTaxHTField0 xmlns="a43215ff-c426-4344-a17d-812f230b5b3d">
      <Terms xmlns="http://schemas.microsoft.com/office/infopath/2007/PartnerControls"/>
    </FlexDocumentCategoryTaxHTField0>
    <FlexDocumentPublishStatus xmlns="a43215ff-c426-4344-a17d-812f230b5b3d" xsi:nil="true"/>
    <FlexDocumentLocationTaxHTField0 xmlns="a43215ff-c426-4344-a17d-812f230b5b3d">
      <Terms xmlns="http://schemas.microsoft.com/office/infopath/2007/PartnerControls">
        <TermInfo xmlns="http://schemas.microsoft.com/office/infopath/2007/PartnerControls">
          <TermName xmlns="http://schemas.microsoft.com/office/infopath/2007/PartnerControls">All Buildings</TermName>
          <TermId xmlns="http://schemas.microsoft.com/office/infopath/2007/PartnerControls">df224e88-28dd-401b-90ca-c35d5bd57dc0</TermId>
        </TermInfo>
      </Terms>
    </FlexDocumentLocationTaxHTField0>
    <FlexDocumentVersion xmlns="a43215ff-c426-4344-a17d-812f230b5b3d" xsi:nil="true"/>
    <FlexDocumentOriginalGuid xmlns="a43215ff-c426-4344-a17d-812f230b5b3d" xsi:nil="true"/>
    <FlexDocumentSortableTitle xmlns="a43215ff-c426-4344-a17d-812f230b5b3d" xsi:nil="true"/>
    <FlexFunctionTaxHTField0 xmlns="a43215ff-c426-4344-a17d-812f230b5b3d">
      <Terms xmlns="http://schemas.microsoft.com/office/infopath/2007/PartnerControls"/>
    </FlexFunctionTaxHTField0>
    <TaxCatchAll xmlns="a43215ff-c426-4344-a17d-812f230b5b3d">
      <Value>388</Value>
      <Value>502</Value>
    </TaxCatchAll>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D85EE-6736-4534-AC92-6FE188BB166A}"/>
</file>

<file path=customXml/itemProps2.xml><?xml version="1.0" encoding="utf-8"?>
<ds:datastoreItem xmlns:ds="http://schemas.openxmlformats.org/officeDocument/2006/customXml" ds:itemID="{73678ED6-476E-4AD9-99E0-ABD4D53D6529}"/>
</file>

<file path=customXml/itemProps3.xml><?xml version="1.0" encoding="utf-8"?>
<ds:datastoreItem xmlns:ds="http://schemas.openxmlformats.org/officeDocument/2006/customXml" ds:itemID="{4C010DE0-91B1-438D-B7EA-71C029D5B783}"/>
</file>

<file path=customXml/itemProps4.xml><?xml version="1.0" encoding="utf-8"?>
<ds:datastoreItem xmlns:ds="http://schemas.openxmlformats.org/officeDocument/2006/customXml" ds:itemID="{BA6A5925-44F0-49F0-AD8F-0A05726A66D6}"/>
</file>

<file path=docProps/app.xml><?xml version="1.0" encoding="utf-8"?>
<Properties xmlns="http://schemas.openxmlformats.org/officeDocument/2006/extended-properties" xmlns:vt="http://schemas.openxmlformats.org/officeDocument/2006/docPropsVTypes">
  <Application>Microsoft Excel Online</Application>
  <Manager/>
  <Company>CPS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KJ Rower</dc:creator>
  <cp:keywords/>
  <dc:description/>
  <cp:lastModifiedBy>Louise Cranston</cp:lastModifiedBy>
  <cp:revision/>
  <dcterms:created xsi:type="dcterms:W3CDTF">2021-02-17T14:50:12Z</dcterms:created>
  <dcterms:modified xsi:type="dcterms:W3CDTF">2023-06-30T15:18:36Z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0x01010084CAAD2E89D9450199F13641D827DA4F00F3ED2831EFCC481E887468FE6069842B008E0D80A0F7814679BD76370079DC25C3004F369F0B844F7F47B5BF0E23F2F334E000D64F121B8CBF004EB49DA97293DECB2C</vt:lpwstr>
  </property>
  <property fmtid="{D5CDD505-2E9C-101B-9397-08002B2CF9AE}" pid="3" name="FlexAudience">
    <vt:lpwstr>388;#HQ DTS|e8e105f6-de0a-4579-8da3-7cb66bc16ed3</vt:lpwstr>
  </property>
  <property fmtid="{D5CDD505-2E9C-101B-9397-08002B2CF9AE}" pid="4" name="MediaServiceImageTags">
    <vt:lpwstr/>
  </property>
  <property fmtid="{D5CDD505-2E9C-101B-9397-08002B2CF9AE}" pid="5" name="FlexDocumentCategory">
    <vt:lpwstr/>
  </property>
  <property fmtid="{D5CDD505-2E9C-101B-9397-08002B2CF9AE}" pid="6" name="lcf76f155ced4ddcb4097134ff3c332f">
    <vt:lpwstr/>
  </property>
  <property fmtid="{D5CDD505-2E9C-101B-9397-08002B2CF9AE}" pid="7" name="FlexDocumentLocation">
    <vt:lpwstr>502;#All Buildings|df224e88-28dd-401b-90ca-c35d5bd57dc0</vt:lpwstr>
  </property>
  <property fmtid="{D5CDD505-2E9C-101B-9397-08002B2CF9AE}" pid="8" name="FlexFunction">
    <vt:lpwstr/>
  </property>
</Properties>
</file>